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28fe151b4e4365" /></Relationships>
</file>

<file path=xl/workbook.xml><?xml version="1.0" encoding="utf-8"?>
<x:workbook xmlns:x="http://schemas.openxmlformats.org/spreadsheetml/2006/main">
  <x:sheets>
    <x:sheet xmlns:r="http://schemas.openxmlformats.org/officeDocument/2006/relationships" name="Read_Me" sheetId="1" r:id="Rd4852a4c08c14d10"/>
    <x:sheet xmlns:r="http://schemas.openxmlformats.org/officeDocument/2006/relationships" name="ADO_Import_Flat" sheetId="2" r:id="R17f4d790370d4986"/>
    <x:sheet xmlns:r="http://schemas.openxmlformats.org/officeDocument/2006/relationships" name="Hierarchy_Map" sheetId="3" r:id="R8716f8dfa2bd43d8"/>
    <x:sheet xmlns:r="http://schemas.openxmlformats.org/officeDocument/2006/relationships" name="Reporting_Fact" sheetId="4" r:id="R61f3d9ec8cb1446a"/>
    <x:sheet xmlns:r="http://schemas.openxmlformats.org/officeDocument/2006/relationships" name="Lookup_Lists" sheetId="5" r:id="Reb57809d4a6f4556"/>
    <x:sheet xmlns:r="http://schemas.openxmlformats.org/officeDocument/2006/relationships" name="Dashboard" sheetId="6" r:id="R3da3acf084d64bc5"/>
    <x:sheet xmlns:r="http://schemas.openxmlformats.org/officeDocument/2006/relationships" name="Upload_Notes" sheetId="7" r:id="R258c1676d4aa48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5">
    <x:font>
      <x:sz val="11"/>
      <x:name val="Carlito"/>
    </x:font>
    <x:font>
      <x:b/>
      <x:sz val="16"/>
      <x:color rgb="FFFFFFFF"/>
      <x:name val="Carlito"/>
    </x:font>
    <x:font>
      <x:b/>
      <x:sz val="12"/>
      <x:color rgb="FF0B1F33"/>
      <x:name val="Carlito"/>
    </x:font>
    <x:font>
      <x:b/>
      <x:sz val="11"/>
      <x:color rgb="FFFFFFFF"/>
      <x:name val="Carlito"/>
    </x:font>
    <x:font>
      <x:b/>
      <x:sz val="13"/>
      <x:color rgb="FF0B1F33"/>
      <x:name val="Carlito"/>
    </x:font>
  </x:fonts>
  <x:fills count="5">
    <x:fill>
      <x:patternFill patternType="none"/>
    </x:fill>
    <x:fill>
      <x:patternFill patternType="gray125"/>
    </x:fill>
    <x:fill>
      <x:patternFill patternType="solid">
        <x:fgColor rgb="FF0B1F33"/>
      </x:patternFill>
    </x:fill>
    <x:fill>
      <x:patternFill patternType="solid">
        <x:fgColor rgb="FF00A6FF"/>
      </x:patternFill>
    </x:fill>
    <x:fill>
      <x:patternFill patternType="solid">
        <x:fgColor rgb="FFE8F6FF"/>
      </x:patternFill>
    </x:fill>
  </x:fills>
  <x:borders count="14">
    <x:border/>
    <x:border/>
    <x:border>
      <x:right/>
      <x:bottom/>
    </x:border>
    <x:border>
      <x:left/>
      <x:right/>
      <x:bottom/>
    </x:border>
    <x:border>
      <x:left/>
      <x:bottom/>
    </x:border>
    <x:border>
      <x:right/>
      <x:top/>
    </x:border>
    <x:border>
      <x:left/>
      <x:right/>
      <x:top/>
    </x:border>
    <x:border>
      <x:left/>
      <x:top/>
    </x:border>
    <x:border>
      <x:right/>
      <x:bottom/>
    </x:border>
    <x:border>
      <x:left/>
      <x:right/>
      <x:bottom/>
    </x:border>
    <x:border>
      <x:left/>
      <x:bottom/>
    </x:border>
    <x:border>
      <x:right/>
      <x:top/>
    </x:border>
    <x:border>
      <x:left/>
      <x:right/>
      <x:top/>
    </x:border>
    <x:border>
      <x:left/>
      <x:top/>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2" borderId="1"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200" fontId="0" fillId="0" borderId="0"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applyAlignment="1">
      <x:alignment wrapText="1"/>
    </x:xf>
    <x:xf numFmtId="200" fontId="0" fillId="0" borderId="1"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applyAlignment="1">
      <x:alignment wrapText="1"/>
    </x:xf>
    <x:xf numFmtId="201" fontId="0"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200" fontId="4" fillId="4" borderId="0" xfId="0" applyNumberFormat="1" applyFont="1" applyFill="1" applyBorder="1" applyAlignment="1">
      <x:alignment horizontal="center"/>
    </x:xf>
    <x:xf numFmtId="200" fontId="4" fillId="4" borderId="1" xfId="0" applyNumberFormat="1" applyFont="1" applyFill="1" applyBorder="1" applyAlignment="1">
      <x:alignment horizontal="center"/>
    </x:xf>
    <x:xf numFmtId="0" fontId="3" fillId="3" borderId="2" xfId="0" applyNumberFormat="1" applyFont="1" applyFill="1" applyBorder="1" applyAlignment="1">
      <x:alignment horizontal="center"/>
    </x:xf>
    <x:xf numFmtId="0" fontId="3" fillId="3" borderId="3" xfId="0" applyNumberFormat="1" applyFont="1" applyFill="1" applyBorder="1" applyAlignment="1">
      <x:alignment horizontal="center"/>
    </x:xf>
    <x:xf numFmtId="0" fontId="3" fillId="3" borderId="4" xfId="0" applyNumberFormat="1" applyFont="1" applyFill="1" applyBorder="1" applyAlignment="1">
      <x:alignment horizontal="center"/>
    </x:xf>
    <x:xf numFmtId="0" fontId="4" fillId="4" borderId="5" xfId="0" applyNumberFormat="1" applyFont="1" applyFill="1" applyBorder="1" applyAlignment="1">
      <x:alignment horizontal="center"/>
    </x:xf>
    <x:xf numFmtId="0" fontId="4" fillId="4" borderId="6" xfId="0" applyNumberFormat="1" applyFont="1" applyFill="1" applyBorder="1" applyAlignment="1">
      <x:alignment horizontal="center"/>
    </x:xf>
    <x:xf numFmtId="200" fontId="4" fillId="4" borderId="7" xfId="0" applyNumberFormat="1" applyFont="1" applyFill="1" applyBorder="1" applyAlignment="1">
      <x:alignment horizontal="center"/>
    </x:xf>
    <x:xf numFmtId="0" fontId="3" fillId="3" borderId="8" xfId="0" applyNumberFormat="1" applyFont="1" applyFill="1" applyBorder="1" applyAlignment="1">
      <x:alignment horizontal="center"/>
    </x:xf>
    <x:xf numFmtId="0" fontId="3" fillId="3" borderId="9" xfId="0" applyNumberFormat="1" applyFont="1" applyFill="1" applyBorder="1" applyAlignment="1">
      <x:alignment horizontal="center"/>
    </x:xf>
    <x:xf numFmtId="0" fontId="3" fillId="3" borderId="10" xfId="0" applyNumberFormat="1" applyFont="1" applyFill="1" applyBorder="1" applyAlignment="1">
      <x:alignment horizontal="center"/>
    </x:xf>
    <x:xf numFmtId="0" fontId="4" fillId="4" borderId="11" xfId="0" applyNumberFormat="1" applyFont="1" applyFill="1" applyBorder="1" applyAlignment="1">
      <x:alignment horizontal="center"/>
    </x:xf>
    <x:xf numFmtId="0" fontId="4" fillId="4" borderId="12" xfId="0" applyNumberFormat="1" applyFont="1" applyFill="1" applyBorder="1" applyAlignment="1">
      <x:alignment horizontal="center"/>
    </x:xf>
    <x:xf numFmtId="200" fontId="4" fillId="4" borderId="13" xfId="0" applyNumberFormat="1" applyFont="1" applyFill="1" applyBorder="1" applyAlignment="1">
      <x:alignment horizontal="center"/>
    </x:xf>
    <x:xf numFmtId="0" fontId="1" fillId="2" borderId="0" xfId="0" applyNumberFormat="1" applyFont="1" applyFill="1" applyBorder="1" applyAlignment="1">
      <x:alignment wrapText="1"/>
    </x:xf>
  </x:cellXfs>
  <x:cellStyles count="1">
    <x:cellStyle name="Normal" xfId="0"/>
  </x:cellStyles>
  <x:dxfs count="6">
    <x:dxf>
      <x:fill>
        <x:patternFill patternType="solid">
          <x:bgColor rgb="FFDCFCE7"/>
        </x:patternFill>
      </x:fill>
    </x:dxf>
    <x:dxf>
      <x:fill>
        <x:patternFill patternType="solid">
          <x:bgColor rgb="FFDBEAFE"/>
        </x:patternFill>
      </x:fill>
    </x:dxf>
    <x:dxf>
      <x:fill>
        <x:patternFill patternType="solid">
          <x:bgColor rgb="FFFEF3C7"/>
        </x:patternFill>
      </x:fill>
    </x:dxf>
    <x:dxf>
      <x:fill>
        <x:patternFill patternType="solid">
          <x:bgColor rgb="FFF1F5F9"/>
        </x:patternFill>
      </x:fill>
    </x:dxf>
    <x:dxf>
      <x:fill>
        <x:patternFill patternType="solid">
          <x:bgColor rgb="FFDCFCE7"/>
        </x:patternFill>
      </x:fill>
    </x:dxf>
    <x:dxf>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3be85fa90840f0" /><Relationship Type="http://schemas.openxmlformats.org/officeDocument/2006/relationships/theme" Target="/xl/theme/theme1.xml" Id="Rd1569fa3ca4042bb" /><Relationship Type="http://schemas.openxmlformats.org/officeDocument/2006/relationships/sharedStrings" Target="/xl/sharedStrings.xml" Id="R7f84d66ac5604b88" /><Relationship Type="http://schemas.openxmlformats.org/officeDocument/2006/relationships/worksheet" Target="/xl/worksheets/sheet1.xml" Id="Rd4852a4c08c14d10" /><Relationship Type="http://schemas.openxmlformats.org/officeDocument/2006/relationships/worksheet" Target="/xl/worksheets/sheet2.xml" Id="R17f4d790370d4986" /><Relationship Type="http://schemas.openxmlformats.org/officeDocument/2006/relationships/worksheet" Target="/xl/worksheets/sheet3.xml" Id="R8716f8dfa2bd43d8" /><Relationship Type="http://schemas.openxmlformats.org/officeDocument/2006/relationships/worksheet" Target="/xl/worksheets/sheet4.xml" Id="R61f3d9ec8cb1446a" /><Relationship Type="http://schemas.openxmlformats.org/officeDocument/2006/relationships/worksheet" Target="/xl/worksheets/sheet5.xml" Id="Reb57809d4a6f4556" /><Relationship Type="http://schemas.openxmlformats.org/officeDocument/2006/relationships/worksheet" Target="/xl/worksheets/sheet6.xml" Id="R3da3acf084d64bc5" /><Relationship Type="http://schemas.openxmlformats.org/officeDocument/2006/relationships/worksheet" Target="/xl/worksheets/sheet7.xml" Id="R258c1676d4aa48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acafd0a84d4157" /><Relationship Type="http://schemas.openxmlformats.org/officeDocument/2006/relationships/chart" Target="/xl/drawings/charts/chart2.xml" Id="Rd61d1aeb91984b3a"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Item Count</c:v>
          </c:tx>
          <c:cat>
            <c:strRef>
              <c:f>'Dashboard'!$A$8:$A$11</c:f>
              <c:strCache>
                <c:ptCount val="0"/>
              </c:strCache>
            </c:strRef>
          </c:cat>
          <c:val>
            <c:numRef>
              <c:f>'Dashboard'!$B$8:$B$11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varyColors val="0"/>
        <c:ser>
          <c:idx val="0"/>
          <c:order val="0"/>
          <c:tx>
            <c:v>Item Count</c:v>
          </c:tx>
          <c:cat>
            <c:strRef>
              <c:f>'Dashboard'!$E$8:$E$12</c:f>
              <c:strCache>
                <c:ptCount val="0"/>
              </c:strCache>
            </c:strRef>
          </c:cat>
          <c:val>
            <c:numRef>
              <c:f>'Dashboard'!$F$8:$F$12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4</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acafd0a84d4157"/>
        </a:graphicData>
      </a:graphic>
    </xdr:graphicFrame>
    <xdr:clientData/>
  </xdr:twoCellAnchor>
  <xdr:twoCellAnchor>
    <xdr:from>
      <xdr:col>5</xdr:col>
      <xdr:colOff>0</xdr:colOff>
      <xdr:row>23</xdr:row>
      <xdr:rowOff>0</xdr:rowOff>
    </xdr:from>
    <xdr:to>
      <xdr:col>10</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1d1aeb91984b3a"/>
        </a:graphicData>
      </a:graphic>
    </xdr:graphicFrame>
    <xdr:clientData/>
  </xdr:twoCellAnchor>
</xdr:wsDr>
</file>

<file path=xl/tables/table1.xml><?xml version="1.0" encoding="utf-8"?>
<x:table xmlns:x="http://schemas.openxmlformats.org/spreadsheetml/2006/main" id="1" name="WorkItemsTable" displayName="WorkItemsTable" ref="A1:W66" headerRowCount="1">
  <x:tableColumns count="23">
    <x:tableColumn id="1" name="Demo ID"/>
    <x:tableColumn id="2" name="Parent Demo ID"/>
    <x:tableColumn id="3" name="Work Item Type"/>
    <x:tableColumn id="4" name="Title"/>
    <x:tableColumn id="5" name="State"/>
    <x:tableColumn id="6" name="Assigned To"/>
    <x:tableColumn id="7" name="Priority"/>
    <x:tableColumn id="8" name="Story Points"/>
    <x:tableColumn id="9" name="Original Estimate"/>
    <x:tableColumn id="10" name="Remaining Work"/>
    <x:tableColumn id="11" name="Completed Work"/>
    <x:tableColumn id="12" name="Progress %"/>
    <x:tableColumn id="13" name="Sprint"/>
    <x:tableColumn id="14" name="Area Path"/>
    <x:tableColumn id="15" name="Iteration Path"/>
    <x:tableColumn id="16" name="Created Date"/>
    <x:tableColumn id="17" name="Target Date"/>
    <x:tableColumn id="18" name="Report Name"/>
    <x:tableColumn id="19" name="Semantic Model"/>
    <x:tableColumn id="20" name="Workspace"/>
    <x:tableColumn id="21" name="Tags"/>
    <x:tableColumn id="22" name="Acceptance Criteria"/>
    <x:tableColumn id="23" name="Description"/>
  </x:tableColumns>
  <x:tableStyleInfo name="TableStyleMedium2" showRowStripes="1"/>
</x:table>
</file>

<file path=xl/tables/table2.xml><?xml version="1.0" encoding="utf-8"?>
<x:table xmlns:x="http://schemas.openxmlformats.org/spreadsheetml/2006/main" id="2" name="HierarchyTable" displayName="HierarchyTable" ref="A1:G66" headerRowCount="1">
  <x:tableColumns count="7">
    <x:tableColumn id="1" name="Demo ID"/>
    <x:tableColumn id="2" name="Parent Demo ID"/>
    <x:tableColumn id="3" name="Work Item Type"/>
    <x:tableColumn id="4" name="Title"/>
    <x:tableColumn id="5" name="Parent Title"/>
    <x:tableColumn id="6" name="Level"/>
    <x:tableColumn id="7" name="Board Column"/>
  </x:tableColumns>
  <x:tableStyleInfo name="TableStyleMedium2" showRowStripes="1"/>
</x:table>
</file>

<file path=xl/tables/table3.xml><?xml version="1.0" encoding="utf-8"?>
<x:table xmlns:x="http://schemas.openxmlformats.org/spreadsheetml/2006/main" id="3" name="ReportingFactTable" displayName="ReportingFactTable" ref="A1:T66" headerRowCount="1">
  <x:tableColumns count="20">
    <x:tableColumn id="1" name="Demo ID"/>
    <x:tableColumn id="2" name="Work Item Type"/>
    <x:tableColumn id="3" name="State"/>
    <x:tableColumn id="4" name="Board Column"/>
    <x:tableColumn id="5" name="Assigned To"/>
    <x:tableColumn id="6" name="Priority"/>
    <x:tableColumn id="7" name="Story Points"/>
    <x:tableColumn id="8" name="Original Estimate"/>
    <x:tableColumn id="9" name="Remaining Work"/>
    <x:tableColumn id="10" name="Completed Work"/>
    <x:tableColumn id="11" name="Progress %"/>
    <x:tableColumn id="12" name="Sprint"/>
    <x:tableColumn id="13" name="Report Name"/>
    <x:tableColumn id="14" name="Semantic Model"/>
    <x:tableColumn id="15" name="Workspace"/>
    <x:tableColumn id="16" name="Created Date"/>
    <x:tableColumn id="17" name="Target Date"/>
    <x:tableColumn id="18" name="Is Current Sprint"/>
    <x:tableColumn id="19" name="Is Closed"/>
    <x:tableColumn id="20" name="Age Day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ccb07e8cda4c94" /></Relationships>
</file>

<file path=xl/worksheets/_rels/sheet3.xml.rels>&#65279;<?xml version="1.0" encoding="utf-8"?><Relationships xmlns="http://schemas.openxmlformats.org/package/2006/relationships"><Relationship Type="http://schemas.openxmlformats.org/officeDocument/2006/relationships/table" Target="/xl/tables/table2.xml" Id="R699301c216d245aa" /></Relationships>
</file>

<file path=xl/worksheets/_rels/sheet4.xml.rels>&#65279;<?xml version="1.0" encoding="utf-8"?><Relationships xmlns="http://schemas.openxmlformats.org/package/2006/relationships"><Relationship Type="http://schemas.openxmlformats.org/officeDocument/2006/relationships/table" Target="/xl/tables/table3.xml" Id="R86995d8bcba84ac8" /></Relationships>
</file>

<file path=xl/worksheets/_rels/sheet6.xml.rels>&#65279;<?xml version="1.0" encoding="utf-8"?><Relationships xmlns="http://schemas.openxmlformats.org/package/2006/relationships"><Relationship Type="http://schemas.openxmlformats.org/officeDocument/2006/relationships/drawing" Target="/xl/drawings/drawing1.xml" Id="R40c8d370340f4010" /></Relationships>
</file>

<file path=xl/worksheets/sheet1.xml><?xml version="1.0" encoding="utf-8"?>
<x:worksheet xmlns:x="http://schemas.openxmlformats.org/spreadsheetml/2006/main">
  <x:sheetFormatPr defaultRowHeight="15"/>
  <x:cols>
    <x:col min="1" max="1" width="22" hidden="0" customWidth="1"/>
    <x:col min="2" max="2" width="80" hidden="0" customWidth="1"/>
  </x:cols>
  <x:sheetData>
    <x:row r="1" ht="19.200000762939453" hidden="0" customHeight="1">
      <x:c r="A1" s="4" t="str">
        <x:v>Kent Police Reporting - DevOps Demo Workbook</x:v>
      </x:c>
    </x:row>
    <x:row r="2"/>
    <x:row r="3" ht="15" hidden="0" customHeight="1">
      <x:c r="A3" s="8" t="str">
        <x:v>Purpose</x:v>
      </x:c>
    </x:row>
    <x:row r="4" ht="171.60000610351562" hidden="0" customHeight="1">
      <x:c r="A4" s="10" t="str">
        <x:v>This workbook contains sample reporting work items for an Azure DevOps board demo. The examples are intentionally safe and generic, based on analyst report delivery using approved semantic models. The same data can also be used to build simple sprint and reporting summary dashboards in Power BI or Fabric.</x:v>
      </x:c>
      <x:c r="B4" s="10"/>
      <x:c r="C4" s="10"/>
      <x:c r="D4" s="10"/>
      <x:c r="E4" s="10"/>
      <x:c r="F4" s="10"/>
      <x:c r="G4" s="10"/>
      <x:c r="H4" s="10"/>
    </x:row>
    <x:row r="5" ht="15" hidden="0" customHeight="1">
      <x:c r="A5" s="10"/>
      <x:c r="B5" s="10"/>
      <x:c r="C5" s="10"/>
      <x:c r="D5" s="10"/>
      <x:c r="E5" s="10"/>
      <x:c r="F5" s="10"/>
      <x:c r="G5" s="10"/>
      <x:c r="H5" s="10"/>
    </x:row>
    <x:row r="6" ht="15" hidden="0" customHeight="1">
      <x:c r="A6" s="10"/>
      <x:c r="B6" s="10"/>
      <x:c r="C6" s="10"/>
      <x:c r="D6" s="10"/>
      <x:c r="E6" s="10"/>
      <x:c r="F6" s="10"/>
      <x:c r="G6" s="10"/>
      <x:c r="H6" s="10"/>
    </x:row>
    <x:row r="7"/>
    <x:row r="8" ht="15" hidden="0" customHeight="1">
      <x:c r="A8" s="16" t="str">
        <x:v>Sheet</x:v>
      </x:c>
      <x:c r="B8" s="16" t="str">
        <x:v>Use</x:v>
      </x:c>
    </x:row>
    <x:row r="9" ht="15" hidden="0" customHeight="1">
      <x:c r="A9" s="10" t="str">
        <x:v>ADO_Import_Flat</x:v>
      </x:c>
      <x:c r="B9" s="10" t="str">
        <x:v>Main work item list. Use this to upload/create sample Epics, Features, User Stories, Tasks and Bugs.</x:v>
      </x:c>
    </x:row>
    <x:row r="10" ht="15" hidden="0" customHeight="1">
      <x:c r="A10" s="10" t="str">
        <x:v>Hierarchy_Map</x:v>
      </x:c>
      <x:c r="B10" s="10" t="str">
        <x:v>Shows parent-child relationships using demo IDs. Useful when creating links after upload.</x:v>
      </x:c>
    </x:row>
    <x:row r="11" ht="15" hidden="0" customHeight="1">
      <x:c r="A11" s="10" t="str">
        <x:v>Reporting_Fact</x:v>
      </x:c>
      <x:c r="B11" s="10" t="str">
        <x:v>Clean fact-style table for building Power BI/Fabric summary reports.</x:v>
      </x:c>
    </x:row>
    <x:row r="12" ht="15" hidden="0" customHeight="1">
      <x:c r="A12" s="10" t="str">
        <x:v>Lookup_Lists</x:v>
      </x:c>
      <x:c r="B12" s="10" t="str">
        <x:v>Drop-down values for status, priority, work item types, owners and models.</x:v>
      </x:c>
    </x:row>
    <x:row r="13" ht="15" hidden="0" customHeight="1">
      <x:c r="A13" s="10" t="str">
        <x:v>Dashboard</x:v>
      </x:c>
      <x:c r="B13" s="10" t="str">
        <x:v>Built-in Excel summary showing current sprint counts, work and progress.</x:v>
      </x:c>
    </x:row>
    <x:row r="14" ht="15" hidden="0" customHeight="1">
      <x:c r="A14" s="10" t="str">
        <x:v>Upload_Notes</x:v>
      </x:c>
      <x:c r="B14" s="10" t="str">
        <x:v>Simple guidance for using the workbook with Azure DevOps.</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4:H6"/>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4" hidden="0" customWidth="1"/>
    <x:col min="3" max="3" width="15" hidden="0" customWidth="1"/>
    <x:col min="4" max="4" width="42" hidden="0" customWidth="1"/>
    <x:col min="5" max="5" width="12" hidden="0" customWidth="1"/>
    <x:col min="6" max="6" width="18" hidden="0" customWidth="1"/>
    <x:col min="7" max="7" width="11" hidden="0" customWidth="1"/>
    <x:col min="8" max="8" width="12" hidden="0" customWidth="1"/>
    <x:col min="9" max="9" width="15" hidden="0" customWidth="1"/>
    <x:col min="10" max="10" width="15" hidden="0" customWidth="1"/>
    <x:col min="11" max="11" width="15" hidden="0" customWidth="1"/>
    <x:col min="12" max="12" width="11" hidden="0" customWidth="1"/>
    <x:col min="13" max="13" width="16" hidden="0" customWidth="1"/>
    <x:col min="14" max="14" width="30" hidden="0" customWidth="1"/>
    <x:col min="15" max="15" width="32" hidden="0" customWidth="1"/>
    <x:col min="16" max="16" width="13" hidden="0" customWidth="1"/>
    <x:col min="17" max="17" width="13" hidden="0" customWidth="1"/>
    <x:col min="18" max="18" width="32" hidden="0" customWidth="1"/>
    <x:col min="19" max="19" width="36" hidden="0" customWidth="1"/>
    <x:col min="20" max="20" width="26" hidden="0" customWidth="1"/>
    <x:col min="21" max="21" width="30" hidden="0" customWidth="1"/>
    <x:col min="22" max="22" width="50" hidden="0" customWidth="1"/>
    <x:col min="23" max="23" width="60" hidden="0" customWidth="1"/>
  </x:cols>
  <x:sheetData>
    <x:row r="1" ht="15" hidden="0" customHeight="1">
      <x:c r="A1" s="20" t="str">
        <x:v>Demo ID</x:v>
      </x:c>
      <x:c r="B1" s="20" t="str">
        <x:v>Parent Demo ID</x:v>
      </x:c>
      <x:c r="C1" s="20" t="str">
        <x:v>Work Item Type</x:v>
      </x:c>
      <x:c r="D1" s="20" t="str">
        <x:v>Title</x:v>
      </x:c>
      <x:c r="E1" s="20" t="str">
        <x:v>State</x:v>
      </x:c>
      <x:c r="F1" s="20" t="str">
        <x:v>Assigned To</x:v>
      </x:c>
      <x:c r="G1" s="20" t="str">
        <x:v>Priority</x:v>
      </x:c>
      <x:c r="H1" s="20" t="str">
        <x:v>Story Points</x:v>
      </x:c>
      <x:c r="I1" s="20" t="str">
        <x:v>Original Estimate</x:v>
      </x:c>
      <x:c r="J1" s="20" t="str">
        <x:v>Remaining Work</x:v>
      </x:c>
      <x:c r="K1" s="20" t="str">
        <x:v>Completed Work</x:v>
      </x:c>
      <x:c r="L1" s="20" t="str">
        <x:v>Progress %</x:v>
      </x:c>
      <x:c r="M1" s="20" t="str">
        <x:v>Sprint</x:v>
      </x:c>
      <x:c r="N1" s="20" t="str">
        <x:v>Area Path</x:v>
      </x:c>
      <x:c r="O1" s="20" t="str">
        <x:v>Iteration Path</x:v>
      </x:c>
      <x:c r="P1" s="20" t="str">
        <x:v>Created Date</x:v>
      </x:c>
      <x:c r="Q1" s="20" t="str">
        <x:v>Target Date</x:v>
      </x:c>
      <x:c r="R1" s="20" t="str">
        <x:v>Report Name</x:v>
      </x:c>
      <x:c r="S1" s="20" t="str">
        <x:v>Semantic Model</x:v>
      </x:c>
      <x:c r="T1" s="20" t="str">
        <x:v>Workspace</x:v>
      </x:c>
      <x:c r="U1" s="20" t="str">
        <x:v>Tags</x:v>
      </x:c>
      <x:c r="V1" s="20" t="str">
        <x:v>Acceptance Criteria</x:v>
      </x:c>
      <x:c r="W1" s="20" t="str">
        <x:v>Description</x:v>
      </x:c>
    </x:row>
    <x:row r="2" ht="15" hidden="0" customHeight="1">
      <x:c r="A2" s="10" t="n">
        <x:v>1001</x:v>
      </x:c>
      <x:c r="B2" s="10" t="str"/>
      <x:c r="C2" s="10" t="str">
        <x:v>Epic</x:v>
      </x:c>
      <x:c r="D2" s="10" t="str">
        <x:v>Modernise management reporting in Microsoft Fabric</x:v>
      </x:c>
      <x:c r="E2" s="10" t="str">
        <x:v>Active</x:v>
      </x:c>
      <x:c r="F2" s="10" t="str">
        <x:v>Kishore K</x:v>
      </x:c>
      <x:c r="G2" s="10" t="str">
        <x:v>High</x:v>
      </x:c>
      <x:c r="H2" s="10" t="n">
        <x:v>0</x:v>
      </x:c>
      <x:c r="I2" s="10" t="n">
        <x:v>0</x:v>
      </x:c>
      <x:c r="J2" s="10" t="n">
        <x:v>0</x:v>
      </x:c>
      <x:c r="K2" s="10" t="n">
        <x:v>0</x:v>
      </x:c>
      <x:c r="L2" s="24" t="n">
        <x:v>0</x:v>
      </x:c>
      <x:c r="M2" s="10" t="str">
        <x:v>Sprint 2026-06</x:v>
      </x:c>
      <x:c r="N2" s="10" t="str">
        <x:v>Kent Police Reporting\Fabric Reports</x:v>
      </x:c>
      <x:c r="O2" s="10" t="str">
        <x:v>Kent Police Reporting\Sprint 2026-06</x:v>
      </x:c>
      <x:c r="P2" s="28" t="n">
        <x:v>46188</x:v>
      </x:c>
      <x:c r="Q2" s="28" t="n">
        <x:v>46198</x:v>
      </x:c>
      <x:c r="R2" s="10" t="str"/>
      <x:c r="S2" s="10" t="str"/>
      <x:c r="T2" s="10" t="str"/>
      <x:c r="U2" s="10" t="str">
        <x:v>Fabric; Analyst Demo</x:v>
      </x:c>
      <x:c r="V2" s="10" t="str">
        <x:v>Reporting changes are tracked from request to published report.</x:v>
      </x:c>
      <x:c r="W2" s="10" t="str">
        <x:v>Overall reporting lifecycle work for the Fabric analyst rollout.</x:v>
      </x:c>
    </x:row>
    <x:row r="3" ht="26.399999618530273" hidden="0" customHeight="1">
      <x:c r="A3" s="10" t="n">
        <x:v>1002</x:v>
      </x:c>
      <x:c r="B3" s="10" t="n">
        <x:v>1001</x:v>
      </x:c>
      <x:c r="C3" s="10" t="str">
        <x:v>Feature</x:v>
      </x:c>
      <x:c r="D3" s="10" t="str">
        <x:v>Core operational reporting pack</x:v>
      </x:c>
      <x:c r="E3" s="10" t="str">
        <x:v>Active</x:v>
      </x:c>
      <x:c r="F3" s="10" t="str">
        <x:v>Kishore K</x:v>
      </x:c>
      <x:c r="G3" s="10" t="str">
        <x:v>High</x:v>
      </x:c>
      <x:c r="H3" s="10" t="n">
        <x:v>0</x:v>
      </x:c>
      <x:c r="I3" s="10" t="n">
        <x:v>0</x:v>
      </x:c>
      <x:c r="J3" s="10" t="n">
        <x:v>0</x:v>
      </x:c>
      <x:c r="K3" s="10" t="n">
        <x:v>0</x:v>
      </x:c>
      <x:c r="L3" s="24" t="n">
        <x:v>0</x:v>
      </x:c>
      <x:c r="M3" s="10" t="str">
        <x:v>Sprint 2026-06</x:v>
      </x:c>
      <x:c r="N3" s="10" t="str">
        <x:v>Kent Police Reporting\Fabric Reports</x:v>
      </x:c>
      <x:c r="O3" s="10" t="str">
        <x:v>Kent Police Reporting\Sprint 2026-06</x:v>
      </x:c>
      <x:c r="P3" s="28" t="n">
        <x:v>46188</x:v>
      </x:c>
      <x:c r="Q3" s="28" t="n">
        <x:v>46198</x:v>
      </x:c>
      <x:c r="R3" s="10" t="str"/>
      <x:c r="S3" s="10" t="str"/>
      <x:c r="T3" s="10" t="str"/>
      <x:c r="U3" s="10" t="str">
        <x:v>Power BI; Report</x:v>
      </x:c>
      <x:c r="V3" s="10" t="str">
        <x:v>Priority reports are available for review using approved semantic models.</x:v>
      </x:c>
      <x:c r="W3" s="10" t="str">
        <x:v>Group of report changes needed for the current sprint.</x:v>
      </x:c>
    </x:row>
    <x:row r="4" ht="15" hidden="0" customHeight="1">
      <x:c r="A4" s="10" t="n">
        <x:v>1003</x:v>
      </x:c>
      <x:c r="B4" s="10" t="n">
        <x:v>1001</x:v>
      </x:c>
      <x:c r="C4" s="10" t="str">
        <x:v>Feature</x:v>
      </x:c>
      <x:c r="D4" s="10" t="str">
        <x:v>Report validation and publishing process</x:v>
      </x:c>
      <x:c r="E4" s="10" t="str">
        <x:v>Active</x:v>
      </x:c>
      <x:c r="F4" s="10" t="str">
        <x:v>Sarah Patel</x:v>
      </x:c>
      <x:c r="G4" s="10" t="str">
        <x:v>Medium</x:v>
      </x:c>
      <x:c r="H4" s="10" t="n">
        <x:v>0</x:v>
      </x:c>
      <x:c r="I4" s="10" t="n">
        <x:v>0</x:v>
      </x:c>
      <x:c r="J4" s="10" t="n">
        <x:v>0</x:v>
      </x:c>
      <x:c r="K4" s="10" t="n">
        <x:v>0</x:v>
      </x:c>
      <x:c r="L4" s="24" t="n">
        <x:v>0</x:v>
      </x:c>
      <x:c r="M4" s="10" t="str">
        <x:v>Sprint 2026-06</x:v>
      </x:c>
      <x:c r="N4" s="10" t="str">
        <x:v>Kent Police Reporting\Fabric Reports</x:v>
      </x:c>
      <x:c r="O4" s="10" t="str">
        <x:v>Kent Police Reporting\Sprint 2026-06</x:v>
      </x:c>
      <x:c r="P4" s="28" t="n">
        <x:v>46189</x:v>
      </x:c>
      <x:c r="Q4" s="28" t="n">
        <x:v>46198</x:v>
      </x:c>
      <x:c r="R4" s="10" t="str"/>
      <x:c r="S4" s="10" t="str"/>
      <x:c r="T4" s="10" t="str"/>
      <x:c r="U4" s="10" t="str">
        <x:v>Validation; Version Control</x:v>
      </x:c>
      <x:c r="V4" s="10" t="str">
        <x:v>Report changes follow review, validation and publishing steps.</x:v>
      </x:c>
      <x:c r="W4" s="10" t="str">
        <x:v>Process improvements for analysts using reports and version history.</x:v>
      </x:c>
    </x:row>
    <x:row r="5" ht="26.399999618530273" hidden="0" customHeight="1">
      <x:c r="A5" s="10" t="n">
        <x:v>1004</x:v>
      </x:c>
      <x:c r="B5" s="10" t="str"/>
      <x:c r="C5" s="10" t="str">
        <x:v>Epic</x:v>
      </x:c>
      <x:c r="D5" s="10" t="str">
        <x:v>Improve visibility of reporting delivery work</x:v>
      </x:c>
      <x:c r="E5" s="10" t="str">
        <x:v>Active</x:v>
      </x:c>
      <x:c r="F5" s="10" t="str">
        <x:v>Kishore K</x:v>
      </x:c>
      <x:c r="G5" s="10" t="str">
        <x:v>Medium</x:v>
      </x:c>
      <x:c r="H5" s="10" t="n">
        <x:v>0</x:v>
      </x:c>
      <x:c r="I5" s="10" t="n">
        <x:v>0</x:v>
      </x:c>
      <x:c r="J5" s="10" t="n">
        <x:v>0</x:v>
      </x:c>
      <x:c r="K5" s="10" t="n">
        <x:v>0</x:v>
      </x:c>
      <x:c r="L5" s="24" t="n">
        <x:v>0</x:v>
      </x:c>
      <x:c r="M5" s="10" t="str">
        <x:v>Sprint 2026-06</x:v>
      </x:c>
      <x:c r="N5" s="10" t="str">
        <x:v>Kent Police Reporting\Fabric Reports</x:v>
      </x:c>
      <x:c r="O5" s="10" t="str">
        <x:v>Kent Police Reporting\Sprint 2026-06</x:v>
      </x:c>
      <x:c r="P5" s="28" t="n">
        <x:v>46188</x:v>
      </x:c>
      <x:c r="Q5" s="28" t="n">
        <x:v>46198</x:v>
      </x:c>
      <x:c r="R5" s="10" t="str"/>
      <x:c r="S5" s="10" t="str"/>
      <x:c r="T5" s="10" t="str"/>
      <x:c r="U5" s="10" t="str">
        <x:v>Azure DevOps; Current Sprint</x:v>
      </x:c>
      <x:c r="V5" s="10" t="str">
        <x:v>Work items can be grouped by epic, feature, user story, task and bug.</x:v>
      </x:c>
      <x:c r="W5" s="10" t="str">
        <x:v>Sample DevOps board data for demonstrating sprint delivery.</x:v>
      </x:c>
    </x:row>
    <x:row r="6" ht="15" hidden="0" customHeight="1">
      <x:c r="A6" s="10" t="n">
        <x:v>1005</x:v>
      </x:c>
      <x:c r="B6" s="10" t="n">
        <x:v>1004</x:v>
      </x:c>
      <x:c r="C6" s="10" t="str">
        <x:v>Feature</x:v>
      </x:c>
      <x:c r="D6" s="10" t="str">
        <x:v>Sprint board for analyst reporting changes</x:v>
      </x:c>
      <x:c r="E6" s="10" t="str">
        <x:v>Active</x:v>
      </x:c>
      <x:c r="F6" s="10" t="str">
        <x:v>Daniel Carter</x:v>
      </x:c>
      <x:c r="G6" s="10" t="str">
        <x:v>Medium</x:v>
      </x:c>
      <x:c r="H6" s="10" t="n">
        <x:v>0</x:v>
      </x:c>
      <x:c r="I6" s="10" t="n">
        <x:v>0</x:v>
      </x:c>
      <x:c r="J6" s="10" t="n">
        <x:v>0</x:v>
      </x:c>
      <x:c r="K6" s="10" t="n">
        <x:v>0</x:v>
      </x:c>
      <x:c r="L6" s="24" t="n">
        <x:v>0</x:v>
      </x:c>
      <x:c r="M6" s="10" t="str">
        <x:v>Sprint 2026-06</x:v>
      </x:c>
      <x:c r="N6" s="10" t="str">
        <x:v>Kent Police Reporting\Fabric Reports</x:v>
      </x:c>
      <x:c r="O6" s="10" t="str">
        <x:v>Kent Police Reporting\Sprint 2026-06</x:v>
      </x:c>
      <x:c r="P6" s="28" t="n">
        <x:v>46189</x:v>
      </x:c>
      <x:c r="Q6" s="28" t="n">
        <x:v>46198</x:v>
      </x:c>
      <x:c r="R6" s="10" t="str"/>
      <x:c r="S6" s="10" t="str"/>
      <x:c r="T6" s="10" t="str"/>
      <x:c r="U6" s="10" t="str">
        <x:v>Azure DevOps; Boards</x:v>
      </x:c>
      <x:c r="V6" s="10" t="str">
        <x:v>Current sprint reporting work is visible on the board.</x:v>
      </x:c>
      <x:c r="W6" s="10" t="str">
        <x:v>Work item structure used to show the board and sprint summary.</x:v>
      </x:c>
    </x:row>
    <x:row r="7" ht="26.399999618530273" hidden="0" customHeight="1">
      <x:c r="A7" s="10" t="n">
        <x:v>1006</x:v>
      </x:c>
      <x:c r="B7" s="10" t="n">
        <x:v>1002</x:v>
      </x:c>
      <x:c r="C7" s="10" t="str">
        <x:v>User Story</x:v>
      </x:c>
      <x:c r="D7" s="10" t="str">
        <x:v>Add monthly incident trend page</x:v>
      </x:c>
      <x:c r="E7" s="10" t="str">
        <x:v>Active</x:v>
      </x:c>
      <x:c r="F7" s="10" t="str">
        <x:v>Amelia Brown</x:v>
      </x:c>
      <x:c r="G7" s="10" t="str">
        <x:v>High</x:v>
      </x:c>
      <x:c r="H7" s="10" t="n">
        <x:v>8</x:v>
      </x:c>
      <x:c r="I7" s="10" t="n">
        <x:v>16</x:v>
      </x:c>
      <x:c r="J7" s="10" t="n">
        <x:v>9</x:v>
      </x:c>
      <x:c r="K7" s="10" t="n">
        <x:v>7</x:v>
      </x:c>
      <x:c r="L7" s="24" t="n">
        <x:v>0.44</x:v>
      </x:c>
      <x:c r="M7" s="10" t="str">
        <x:v>Sprint 2026-06</x:v>
      </x:c>
      <x:c r="N7" s="10" t="str">
        <x:v>Kent Police Reporting\Fabric Reports</x:v>
      </x:c>
      <x:c r="O7" s="10" t="str">
        <x:v>Kent Police Reporting\Sprint 2026-06</x:v>
      </x:c>
      <x:c r="P7" s="28" t="n">
        <x:v>46188</x:v>
      </x:c>
      <x:c r="Q7" s="28" t="n">
        <x:v>46198</x:v>
      </x:c>
      <x:c r="R7" s="10" t="str">
        <x:v>Monthly Incident Performance Report</x:v>
      </x:c>
      <x:c r="S7" s="10" t="str">
        <x:v>PROD - Incident Reporting Semantic Model</x:v>
      </x:c>
      <x:c r="T7" s="10" t="str">
        <x:v>Analyst Report Workspace</x:v>
      </x:c>
      <x:c r="U7" s="10" t="str">
        <x:v>Report; Current Sprint</x:v>
      </x:c>
      <x:c r="V7" s="10" t="str">
        <x:v>Report change is reviewed, validated and ready for publishing.</x:v>
      </x:c>
      <x:c r="W7" s="10" t="str">
        <x:v>Reporting change for Monthly Incident Performance Report using the approved semantic model.</x:v>
      </x:c>
    </x:row>
    <x:row r="8" ht="15" hidden="0" customHeight="1">
      <x:c r="A8" s="10" t="n">
        <x:v>1007</x:v>
      </x:c>
      <x:c r="B8" s="10" t="n">
        <x:v>1006</x:v>
      </x:c>
      <x:c r="C8" s="10" t="str">
        <x:v>Task</x:v>
      </x:c>
      <x:c r="D8" s="10" t="str">
        <x:v>Create line chart for incident trend</x:v>
      </x:c>
      <x:c r="E8" s="10" t="str">
        <x:v>Closed</x:v>
      </x:c>
      <x:c r="F8" s="10" t="str">
        <x:v>Amelia Brown</x:v>
      </x:c>
      <x:c r="G8" s="10" t="str">
        <x:v>High</x:v>
      </x:c>
      <x:c r="H8" s="10" t="n">
        <x:v>0</x:v>
      </x:c>
      <x:c r="I8" s="10" t="n">
        <x:v>3</x:v>
      </x:c>
      <x:c r="J8" s="10" t="n">
        <x:v>0</x:v>
      </x:c>
      <x:c r="K8" s="10" t="n">
        <x:v>3</x:v>
      </x:c>
      <x:c r="L8" s="24" t="n">
        <x:v>1</x:v>
      </x:c>
      <x:c r="M8" s="10" t="str">
        <x:v>Sprint 2026-06</x:v>
      </x:c>
      <x:c r="N8" s="10" t="str">
        <x:v>Kent Police Reporting\Fabric Reports</x:v>
      </x:c>
      <x:c r="O8" s="10" t="str">
        <x:v>Kent Police Reporting\Sprint 2026-06</x:v>
      </x:c>
      <x:c r="P8" s="28" t="n">
        <x:v>46188</x:v>
      </x:c>
      <x:c r="Q8" s="28" t="n">
        <x:v>46198</x:v>
      </x:c>
      <x:c r="R8" s="10" t="str">
        <x:v>Monthly Incident Performance Report</x:v>
      </x:c>
      <x:c r="S8" s="10" t="str">
        <x:v>PROD - Incident Reporting Semantic Model</x:v>
      </x:c>
      <x:c r="T8" s="10" t="str">
        <x:v>Analyst Report Workspace</x:v>
      </x:c>
      <x:c r="U8" s="10" t="str">
        <x:v>Task; Report Build</x:v>
      </x:c>
      <x:c r="V8" s="10" t="str">
        <x:v>Task is completed and checked as part of the report change.</x:v>
      </x:c>
      <x:c r="W8" s="10" t="str">
        <x:v>Task linked to user story: Add monthly incident trend page.</x:v>
      </x:c>
    </x:row>
    <x:row r="9" ht="15" hidden="0" customHeight="1">
      <x:c r="A9" s="10" t="n">
        <x:v>1008</x:v>
      </x:c>
      <x:c r="B9" s="10" t="n">
        <x:v>1006</x:v>
      </x:c>
      <x:c r="C9" s="10" t="str">
        <x:v>Task</x:v>
      </x:c>
      <x:c r="D9" s="10" t="str">
        <x:v>Add month and district slicers</x:v>
      </x:c>
      <x:c r="E9" s="10" t="str">
        <x:v>Active</x:v>
      </x:c>
      <x:c r="F9" s="10" t="str">
        <x:v>Amelia Brown</x:v>
      </x:c>
      <x:c r="G9" s="10" t="str">
        <x:v>High</x:v>
      </x:c>
      <x:c r="H9" s="10" t="n">
        <x:v>0</x:v>
      </x:c>
      <x:c r="I9" s="10" t="n">
        <x:v>3</x:v>
      </x:c>
      <x:c r="J9" s="10" t="n">
        <x:v>2</x:v>
      </x:c>
      <x:c r="K9" s="10" t="n">
        <x:v>1</x:v>
      </x:c>
      <x:c r="L9" s="24" t="n">
        <x:v>0.33</x:v>
      </x:c>
      <x:c r="M9" s="10" t="str">
        <x:v>Sprint 2026-06</x:v>
      </x:c>
      <x:c r="N9" s="10" t="str">
        <x:v>Kent Police Reporting\Fabric Reports</x:v>
      </x:c>
      <x:c r="O9" s="10" t="str">
        <x:v>Kent Police Reporting\Sprint 2026-06</x:v>
      </x:c>
      <x:c r="P9" s="28" t="n">
        <x:v>46189</x:v>
      </x:c>
      <x:c r="Q9" s="28" t="n">
        <x:v>46198</x:v>
      </x:c>
      <x:c r="R9" s="10" t="str">
        <x:v>Monthly Incident Performance Report</x:v>
      </x:c>
      <x:c r="S9" s="10" t="str">
        <x:v>PROD - Incident Reporting Semantic Model</x:v>
      </x:c>
      <x:c r="T9" s="10" t="str">
        <x:v>Analyst Report Workspace</x:v>
      </x:c>
      <x:c r="U9" s="10" t="str">
        <x:v>Task; Report Build</x:v>
      </x:c>
      <x:c r="V9" s="10" t="str">
        <x:v>Task is completed and checked as part of the report change.</x:v>
      </x:c>
      <x:c r="W9" s="10" t="str">
        <x:v>Task linked to user story: Add monthly incident trend page.</x:v>
      </x:c>
    </x:row>
    <x:row r="10" ht="15" hidden="0" customHeight="1">
      <x:c r="A10" s="10" t="n">
        <x:v>1009</x:v>
      </x:c>
      <x:c r="B10" s="10" t="n">
        <x:v>1006</x:v>
      </x:c>
      <x:c r="C10" s="10" t="str">
        <x:v>Task</x:v>
      </x:c>
      <x:c r="D10" s="10" t="str">
        <x:v>Validate totals against semantic model</x:v>
      </x:c>
      <x:c r="E10" s="10" t="str">
        <x:v>Resolved</x:v>
      </x:c>
      <x:c r="F10" s="10" t="str">
        <x:v>Amelia Brown</x:v>
      </x:c>
      <x:c r="G10" s="10" t="str">
        <x:v>High</x:v>
      </x:c>
      <x:c r="H10" s="10" t="n">
        <x:v>0</x:v>
      </x:c>
      <x:c r="I10" s="10" t="n">
        <x:v>2</x:v>
      </x:c>
      <x:c r="J10" s="10" t="n">
        <x:v>1</x:v>
      </x:c>
      <x:c r="K10" s="10" t="n">
        <x:v>1</x:v>
      </x:c>
      <x:c r="L10" s="24" t="n">
        <x:v>0.5</x:v>
      </x:c>
      <x:c r="M10" s="10" t="str">
        <x:v>Sprint 2026-06</x:v>
      </x:c>
      <x:c r="N10" s="10" t="str">
        <x:v>Kent Police Reporting\Fabric Reports</x:v>
      </x:c>
      <x:c r="O10" s="10" t="str">
        <x:v>Kent Police Reporting\Sprint 2026-06</x:v>
      </x:c>
      <x:c r="P10" s="28" t="n">
        <x:v>46190</x:v>
      </x:c>
      <x:c r="Q10" s="28" t="n">
        <x:v>46198</x:v>
      </x:c>
      <x:c r="R10" s="10" t="str">
        <x:v>Monthly Incident Performance Report</x:v>
      </x:c>
      <x:c r="S10" s="10" t="str">
        <x:v>PROD - Incident Reporting Semantic Model</x:v>
      </x:c>
      <x:c r="T10" s="10" t="str">
        <x:v>Analyst Report Workspace</x:v>
      </x:c>
      <x:c r="U10" s="10" t="str">
        <x:v>Task; Report Build</x:v>
      </x:c>
      <x:c r="V10" s="10" t="str">
        <x:v>Task is completed and checked as part of the report change.</x:v>
      </x:c>
      <x:c r="W10" s="10" t="str">
        <x:v>Task linked to user story: Add monthly incident trend page.</x:v>
      </x:c>
    </x:row>
    <x:row r="11" ht="26.399999618530273" hidden="0" customHeight="1">
      <x:c r="A11" s="10" t="n">
        <x:v>1010</x:v>
      </x:c>
      <x:c r="B11" s="10" t="n">
        <x:v>1002</x:v>
      </x:c>
      <x:c r="C11" s="10" t="str">
        <x:v>User Story</x:v>
      </x:c>
      <x:c r="D11" s="10" t="str">
        <x:v>Refresh officer availability dashboard layout</x:v>
      </x:c>
      <x:c r="E11" s="10" t="str">
        <x:v>Resolved</x:v>
      </x:c>
      <x:c r="F11" s="10" t="str">
        <x:v>Daniel Carter</x:v>
      </x:c>
      <x:c r="G11" s="10" t="str">
        <x:v>Medium</x:v>
      </x:c>
      <x:c r="H11" s="10" t="n">
        <x:v>5</x:v>
      </x:c>
      <x:c r="I11" s="10" t="n">
        <x:v>10</x:v>
      </x:c>
      <x:c r="J11" s="10" t="n">
        <x:v>2</x:v>
      </x:c>
      <x:c r="K11" s="10" t="n">
        <x:v>8</x:v>
      </x:c>
      <x:c r="L11" s="24" t="n">
        <x:v>0.8</x:v>
      </x:c>
      <x:c r="M11" s="10" t="str">
        <x:v>Sprint 2026-06</x:v>
      </x:c>
      <x:c r="N11" s="10" t="str">
        <x:v>Kent Police Reporting\Fabric Reports</x:v>
      </x:c>
      <x:c r="O11" s="10" t="str">
        <x:v>Kent Police Reporting\Sprint 2026-06</x:v>
      </x:c>
      <x:c r="P11" s="28" t="n">
        <x:v>46189</x:v>
      </x:c>
      <x:c r="Q11" s="28" t="n">
        <x:v>46198</x:v>
      </x:c>
      <x:c r="R11" s="10" t="str">
        <x:v>Officer Availability Dashboard</x:v>
      </x:c>
      <x:c r="S11" s="10" t="str">
        <x:v>PROD - Workforce Semantic Model</x:v>
      </x:c>
      <x:c r="T11" s="10" t="str">
        <x:v>Analyst Report Workspace</x:v>
      </x:c>
      <x:c r="U11" s="10" t="str">
        <x:v>Report; Current Sprint</x:v>
      </x:c>
      <x:c r="V11" s="10" t="str">
        <x:v>Report change is reviewed, validated and ready for publishing.</x:v>
      </x:c>
      <x:c r="W11" s="10" t="str">
        <x:v>Reporting change for Officer Availability Dashboard using the approved semantic model.</x:v>
      </x:c>
    </x:row>
    <x:row r="12" ht="15" hidden="0" customHeight="1">
      <x:c r="A12" s="10" t="n">
        <x:v>1011</x:v>
      </x:c>
      <x:c r="B12" s="10" t="n">
        <x:v>1010</x:v>
      </x:c>
      <x:c r="C12" s="10" t="str">
        <x:v>Task</x:v>
      </x:c>
      <x:c r="D12" s="10" t="str">
        <x:v>Update KPI cards</x:v>
      </x:c>
      <x:c r="E12" s="10" t="str">
        <x:v>Active</x:v>
      </x:c>
      <x:c r="F12" s="10" t="str">
        <x:v>Daniel Carter</x:v>
      </x:c>
      <x:c r="G12" s="10" t="str">
        <x:v>Medium</x:v>
      </x:c>
      <x:c r="H12" s="10" t="n">
        <x:v>0</x:v>
      </x:c>
      <x:c r="I12" s="10" t="n">
        <x:v>3</x:v>
      </x:c>
      <x:c r="J12" s="10" t="n">
        <x:v>2</x:v>
      </x:c>
      <x:c r="K12" s="10" t="n">
        <x:v>1</x:v>
      </x:c>
      <x:c r="L12" s="24" t="n">
        <x:v>0.33</x:v>
      </x:c>
      <x:c r="M12" s="10" t="str">
        <x:v>Sprint 2026-06</x:v>
      </x:c>
      <x:c r="N12" s="10" t="str">
        <x:v>Kent Police Reporting\Fabric Reports</x:v>
      </x:c>
      <x:c r="O12" s="10" t="str">
        <x:v>Kent Police Reporting\Sprint 2026-06</x:v>
      </x:c>
      <x:c r="P12" s="28" t="n">
        <x:v>46189</x:v>
      </x:c>
      <x:c r="Q12" s="28" t="n">
        <x:v>46198</x:v>
      </x:c>
      <x:c r="R12" s="10" t="str">
        <x:v>Officer Availability Dashboard</x:v>
      </x:c>
      <x:c r="S12" s="10" t="str">
        <x:v>PROD - Workforce Semantic Model</x:v>
      </x:c>
      <x:c r="T12" s="10" t="str">
        <x:v>Analyst Report Workspace</x:v>
      </x:c>
      <x:c r="U12" s="10" t="str">
        <x:v>Task; Report Build</x:v>
      </x:c>
      <x:c r="V12" s="10" t="str">
        <x:v>Task is completed and checked as part of the report change.</x:v>
      </x:c>
      <x:c r="W12" s="10" t="str">
        <x:v>Task linked to user story: Refresh officer availability dashboard layout.</x:v>
      </x:c>
    </x:row>
    <x:row r="13" ht="15" hidden="0" customHeight="1">
      <x:c r="A13" s="10" t="n">
        <x:v>1012</x:v>
      </x:c>
      <x:c r="B13" s="10" t="n">
        <x:v>1010</x:v>
      </x:c>
      <x:c r="C13" s="10" t="str">
        <x:v>Task</x:v>
      </x:c>
      <x:c r="D13" s="10" t="str">
        <x:v>Align availability visuals</x:v>
      </x:c>
      <x:c r="E13" s="10" t="str">
        <x:v>Resolved</x:v>
      </x:c>
      <x:c r="F13" s="10" t="str">
        <x:v>Daniel Carter</x:v>
      </x:c>
      <x:c r="G13" s="10" t="str">
        <x:v>Medium</x:v>
      </x:c>
      <x:c r="H13" s="10" t="n">
        <x:v>0</x:v>
      </x:c>
      <x:c r="I13" s="10" t="n">
        <x:v>3</x:v>
      </x:c>
      <x:c r="J13" s="10" t="n">
        <x:v>1</x:v>
      </x:c>
      <x:c r="K13" s="10" t="n">
        <x:v>2</x:v>
      </x:c>
      <x:c r="L13" s="24" t="n">
        <x:v>0.67</x:v>
      </x:c>
      <x:c r="M13" s="10" t="str">
        <x:v>Sprint 2026-06</x:v>
      </x:c>
      <x:c r="N13" s="10" t="str">
        <x:v>Kent Police Reporting\Fabric Reports</x:v>
      </x:c>
      <x:c r="O13" s="10" t="str">
        <x:v>Kent Police Reporting\Sprint 2026-06</x:v>
      </x:c>
      <x:c r="P13" s="28" t="n">
        <x:v>46190</x:v>
      </x:c>
      <x:c r="Q13" s="28" t="n">
        <x:v>46198</x:v>
      </x:c>
      <x:c r="R13" s="10" t="str">
        <x:v>Officer Availability Dashboard</x:v>
      </x:c>
      <x:c r="S13" s="10" t="str">
        <x:v>PROD - Workforce Semantic Model</x:v>
      </x:c>
      <x:c r="T13" s="10" t="str">
        <x:v>Analyst Report Workspace</x:v>
      </x:c>
      <x:c r="U13" s="10" t="str">
        <x:v>Task; Report Build</x:v>
      </x:c>
      <x:c r="V13" s="10" t="str">
        <x:v>Task is completed and checked as part of the report change.</x:v>
      </x:c>
      <x:c r="W13" s="10" t="str">
        <x:v>Task linked to user story: Refresh officer availability dashboard layout.</x:v>
      </x:c>
    </x:row>
    <x:row r="14" ht="15" hidden="0" customHeight="1">
      <x:c r="A14" s="10" t="n">
        <x:v>1013</x:v>
      </x:c>
      <x:c r="B14" s="10" t="n">
        <x:v>1010</x:v>
      </x:c>
      <x:c r="C14" s="10" t="str">
        <x:v>Task</x:v>
      </x:c>
      <x:c r="D14" s="10" t="str">
        <x:v>Check filters with SME</x:v>
      </x:c>
      <x:c r="E14" s="10" t="str">
        <x:v>New</x:v>
      </x:c>
      <x:c r="F14" s="10" t="str">
        <x:v>Daniel Carter</x:v>
      </x:c>
      <x:c r="G14" s="10" t="str">
        <x:v>Medium</x:v>
      </x:c>
      <x:c r="H14" s="10" t="n">
        <x:v>0</x:v>
      </x:c>
      <x:c r="I14" s="10" t="n">
        <x:v>2</x:v>
      </x:c>
      <x:c r="J14" s="10" t="n">
        <x:v>2</x:v>
      </x:c>
      <x:c r="K14" s="10" t="n">
        <x:v>0</x:v>
      </x:c>
      <x:c r="L14" s="24" t="n">
        <x:v>0</x:v>
      </x:c>
      <x:c r="M14" s="10" t="str">
        <x:v>Sprint 2026-06</x:v>
      </x:c>
      <x:c r="N14" s="10" t="str">
        <x:v>Kent Police Reporting\Fabric Reports</x:v>
      </x:c>
      <x:c r="O14" s="10" t="str">
        <x:v>Kent Police Reporting\Sprint 2026-06</x:v>
      </x:c>
      <x:c r="P14" s="28" t="n">
        <x:v>46191</x:v>
      </x:c>
      <x:c r="Q14" s="28" t="n">
        <x:v>46198</x:v>
      </x:c>
      <x:c r="R14" s="10" t="str">
        <x:v>Officer Availability Dashboard</x:v>
      </x:c>
      <x:c r="S14" s="10" t="str">
        <x:v>PROD - Workforce Semantic Model</x:v>
      </x:c>
      <x:c r="T14" s="10" t="str">
        <x:v>Analyst Report Workspace</x:v>
      </x:c>
      <x:c r="U14" s="10" t="str">
        <x:v>Task; Report Build</x:v>
      </x:c>
      <x:c r="V14" s="10" t="str">
        <x:v>Task is completed and checked as part of the report change.</x:v>
      </x:c>
      <x:c r="W14" s="10" t="str">
        <x:v>Task linked to user story: Refresh officer availability dashboard layout.</x:v>
      </x:c>
    </x:row>
    <x:row r="15" ht="26.399999618530273" hidden="0" customHeight="1">
      <x:c r="A15" s="10" t="n">
        <x:v>1014</x:v>
      </x:c>
      <x:c r="B15" s="10" t="n">
        <x:v>1002</x:v>
      </x:c>
      <x:c r="C15" s="10" t="str">
        <x:v>User Story</x:v>
      </x:c>
      <x:c r="D15" s="10" t="str">
        <x:v>Create custody performance summary page</x:v>
      </x:c>
      <x:c r="E15" s="10" t="str">
        <x:v>Closed</x:v>
      </x:c>
      <x:c r="F15" s="10" t="str">
        <x:v>Priya Nair</x:v>
      </x:c>
      <x:c r="G15" s="10" t="str">
        <x:v>High</x:v>
      </x:c>
      <x:c r="H15" s="10" t="n">
        <x:v>8</x:v>
      </x:c>
      <x:c r="I15" s="10" t="n">
        <x:v>16</x:v>
      </x:c>
      <x:c r="J15" s="10" t="n">
        <x:v>0</x:v>
      </x:c>
      <x:c r="K15" s="10" t="n">
        <x:v>16</x:v>
      </x:c>
      <x:c r="L15" s="24" t="n">
        <x:v>1</x:v>
      </x:c>
      <x:c r="M15" s="10" t="str">
        <x:v>Sprint 2026-06</x:v>
      </x:c>
      <x:c r="N15" s="10" t="str">
        <x:v>Kent Police Reporting\Fabric Reports</x:v>
      </x:c>
      <x:c r="O15" s="10" t="str">
        <x:v>Kent Police Reporting\Sprint 2026-06</x:v>
      </x:c>
      <x:c r="P15" s="28" t="n">
        <x:v>46190</x:v>
      </x:c>
      <x:c r="Q15" s="28" t="n">
        <x:v>46198</x:v>
      </x:c>
      <x:c r="R15" s="10" t="str">
        <x:v>Custody Performance Dashboard</x:v>
      </x:c>
      <x:c r="S15" s="10" t="str">
        <x:v>PROD - Custody Reporting Semantic Model</x:v>
      </x:c>
      <x:c r="T15" s="10" t="str">
        <x:v>Analyst Report Workspace</x:v>
      </x:c>
      <x:c r="U15" s="10" t="str">
        <x:v>Report; Current Sprint</x:v>
      </x:c>
      <x:c r="V15" s="10" t="str">
        <x:v>Report change is reviewed, validated and ready for publishing.</x:v>
      </x:c>
      <x:c r="W15" s="10" t="str">
        <x:v>Reporting change for Custody Performance Dashboard using the approved semantic model.</x:v>
      </x:c>
    </x:row>
    <x:row r="16" ht="15" hidden="0" customHeight="1">
      <x:c r="A16" s="10" t="n">
        <x:v>1015</x:v>
      </x:c>
      <x:c r="B16" s="10" t="n">
        <x:v>1014</x:v>
      </x:c>
      <x:c r="C16" s="10" t="str">
        <x:v>Task</x:v>
      </x:c>
      <x:c r="D16" s="10" t="str">
        <x:v>Add custody throughput chart</x:v>
      </x:c>
      <x:c r="E16" s="10" t="str">
        <x:v>Resolved</x:v>
      </x:c>
      <x:c r="F16" s="10" t="str">
        <x:v>Priya Nair</x:v>
      </x:c>
      <x:c r="G16" s="10" t="str">
        <x:v>High</x:v>
      </x:c>
      <x:c r="H16" s="10" t="n">
        <x:v>0</x:v>
      </x:c>
      <x:c r="I16" s="10" t="n">
        <x:v>3</x:v>
      </x:c>
      <x:c r="J16" s="10" t="n">
        <x:v>1</x:v>
      </x:c>
      <x:c r="K16" s="10" t="n">
        <x:v>2</x:v>
      </x:c>
      <x:c r="L16" s="24" t="n">
        <x:v>0.67</x:v>
      </x:c>
      <x:c r="M16" s="10" t="str">
        <x:v>Sprint 2026-06</x:v>
      </x:c>
      <x:c r="N16" s="10" t="str">
        <x:v>Kent Police Reporting\Fabric Reports</x:v>
      </x:c>
      <x:c r="O16" s="10" t="str">
        <x:v>Kent Police Reporting\Sprint 2026-06</x:v>
      </x:c>
      <x:c r="P16" s="28" t="n">
        <x:v>46190</x:v>
      </x:c>
      <x:c r="Q16" s="28" t="n">
        <x:v>46198</x:v>
      </x:c>
      <x:c r="R16" s="10" t="str">
        <x:v>Custody Performance Dashboard</x:v>
      </x:c>
      <x:c r="S16" s="10" t="str">
        <x:v>PROD - Custody Reporting Semantic Model</x:v>
      </x:c>
      <x:c r="T16" s="10" t="str">
        <x:v>Analyst Report Workspace</x:v>
      </x:c>
      <x:c r="U16" s="10" t="str">
        <x:v>Task; Report Build</x:v>
      </x:c>
      <x:c r="V16" s="10" t="str">
        <x:v>Task is completed and checked as part of the report change.</x:v>
      </x:c>
      <x:c r="W16" s="10" t="str">
        <x:v>Task linked to user story: Create custody performance summary page.</x:v>
      </x:c>
    </x:row>
    <x:row r="17" ht="15" hidden="0" customHeight="1">
      <x:c r="A17" s="10" t="n">
        <x:v>1016</x:v>
      </x:c>
      <x:c r="B17" s="10" t="n">
        <x:v>1014</x:v>
      </x:c>
      <x:c r="C17" s="10" t="str">
        <x:v>Task</x:v>
      </x:c>
      <x:c r="D17" s="10" t="str">
        <x:v>Create status breakdown visual</x:v>
      </x:c>
      <x:c r="E17" s="10" t="str">
        <x:v>New</x:v>
      </x:c>
      <x:c r="F17" s="10" t="str">
        <x:v>Priya Nair</x:v>
      </x:c>
      <x:c r="G17" s="10" t="str">
        <x:v>High</x:v>
      </x:c>
      <x:c r="H17" s="10" t="n">
        <x:v>0</x:v>
      </x:c>
      <x:c r="I17" s="10" t="n">
        <x:v>3</x:v>
      </x:c>
      <x:c r="J17" s="10" t="n">
        <x:v>3</x:v>
      </x:c>
      <x:c r="K17" s="10" t="n">
        <x:v>0</x:v>
      </x:c>
      <x:c r="L17" s="24" t="n">
        <x:v>0</x:v>
      </x:c>
      <x:c r="M17" s="10" t="str">
        <x:v>Sprint 2026-06</x:v>
      </x:c>
      <x:c r="N17" s="10" t="str">
        <x:v>Kent Police Reporting\Fabric Reports</x:v>
      </x:c>
      <x:c r="O17" s="10" t="str">
        <x:v>Kent Police Reporting\Sprint 2026-06</x:v>
      </x:c>
      <x:c r="P17" s="28" t="n">
        <x:v>46191</x:v>
      </x:c>
      <x:c r="Q17" s="28" t="n">
        <x:v>46198</x:v>
      </x:c>
      <x:c r="R17" s="10" t="str">
        <x:v>Custody Performance Dashboard</x:v>
      </x:c>
      <x:c r="S17" s="10" t="str">
        <x:v>PROD - Custody Reporting Semantic Model</x:v>
      </x:c>
      <x:c r="T17" s="10" t="str">
        <x:v>Analyst Report Workspace</x:v>
      </x:c>
      <x:c r="U17" s="10" t="str">
        <x:v>Task; Report Build</x:v>
      </x:c>
      <x:c r="V17" s="10" t="str">
        <x:v>Task is completed and checked as part of the report change.</x:v>
      </x:c>
      <x:c r="W17" s="10" t="str">
        <x:v>Task linked to user story: Create custody performance summary page.</x:v>
      </x:c>
    </x:row>
    <x:row r="18" ht="15" hidden="0" customHeight="1">
      <x:c r="A18" s="10" t="n">
        <x:v>1017</x:v>
      </x:c>
      <x:c r="B18" s="10" t="n">
        <x:v>1014</x:v>
      </x:c>
      <x:c r="C18" s="10" t="str">
        <x:v>Task</x:v>
      </x:c>
      <x:c r="D18" s="10" t="str">
        <x:v>Validate against agreed totals</x:v>
      </x:c>
      <x:c r="E18" s="10" t="str">
        <x:v>Closed</x:v>
      </x:c>
      <x:c r="F18" s="10" t="str">
        <x:v>Priya Nair</x:v>
      </x:c>
      <x:c r="G18" s="10" t="str">
        <x:v>High</x:v>
      </x:c>
      <x:c r="H18" s="10" t="n">
        <x:v>0</x:v>
      </x:c>
      <x:c r="I18" s="10" t="n">
        <x:v>2</x:v>
      </x:c>
      <x:c r="J18" s="10" t="n">
        <x:v>0</x:v>
      </x:c>
      <x:c r="K18" s="10" t="n">
        <x:v>2</x:v>
      </x:c>
      <x:c r="L18" s="24" t="n">
        <x:v>1</x:v>
      </x:c>
      <x:c r="M18" s="10" t="str">
        <x:v>Sprint 2026-06</x:v>
      </x:c>
      <x:c r="N18" s="10" t="str">
        <x:v>Kent Police Reporting\Fabric Reports</x:v>
      </x:c>
      <x:c r="O18" s="10" t="str">
        <x:v>Kent Police Reporting\Sprint 2026-06</x:v>
      </x:c>
      <x:c r="P18" s="28" t="n">
        <x:v>46192</x:v>
      </x:c>
      <x:c r="Q18" s="28" t="n">
        <x:v>46198</x:v>
      </x:c>
      <x:c r="R18" s="10" t="str">
        <x:v>Custody Performance Dashboard</x:v>
      </x:c>
      <x:c r="S18" s="10" t="str">
        <x:v>PROD - Custody Reporting Semantic Model</x:v>
      </x:c>
      <x:c r="T18" s="10" t="str">
        <x:v>Analyst Report Workspace</x:v>
      </x:c>
      <x:c r="U18" s="10" t="str">
        <x:v>Task; Report Build</x:v>
      </x:c>
      <x:c r="V18" s="10" t="str">
        <x:v>Task is completed and checked as part of the report change.</x:v>
      </x:c>
      <x:c r="W18" s="10" t="str">
        <x:v>Task linked to user story: Create custody performance summary page.</x:v>
      </x:c>
    </x:row>
    <x:row r="19" ht="26.399999618530273" hidden="0" customHeight="1">
      <x:c r="A19" s="10" t="n">
        <x:v>1018</x:v>
      </x:c>
      <x:c r="B19" s="10" t="n">
        <x:v>1002</x:v>
      </x:c>
      <x:c r="C19" s="10" t="str">
        <x:v>User Story</x:v>
      </x:c>
      <x:c r="D19" s="10" t="str">
        <x:v>Build victim services overview page</x:v>
      </x:c>
      <x:c r="E19" s="10" t="str">
        <x:v>New</x:v>
      </x:c>
      <x:c r="F19" s="10" t="str">
        <x:v>Tom Hughes</x:v>
      </x:c>
      <x:c r="G19" s="10" t="str">
        <x:v>Medium</x:v>
      </x:c>
      <x:c r="H19" s="10" t="n">
        <x:v>5</x:v>
      </x:c>
      <x:c r="I19" s="10" t="n">
        <x:v>10</x:v>
      </x:c>
      <x:c r="J19" s="10" t="n">
        <x:v>10</x:v>
      </x:c>
      <x:c r="K19" s="10" t="n">
        <x:v>0</x:v>
      </x:c>
      <x:c r="L19" s="24" t="n">
        <x:v>0</x:v>
      </x:c>
      <x:c r="M19" s="10" t="str">
        <x:v>Sprint 2026-06</x:v>
      </x:c>
      <x:c r="N19" s="10" t="str">
        <x:v>Kent Police Reporting\Fabric Reports</x:v>
      </x:c>
      <x:c r="O19" s="10" t="str">
        <x:v>Kent Police Reporting\Sprint 2026-06</x:v>
      </x:c>
      <x:c r="P19" s="28" t="n">
        <x:v>46191</x:v>
      </x:c>
      <x:c r="Q19" s="28" t="n">
        <x:v>46198</x:v>
      </x:c>
      <x:c r="R19" s="10" t="str">
        <x:v>Victim Services Overview</x:v>
      </x:c>
      <x:c r="S19" s="10" t="str">
        <x:v>PROD - Victim Services Semantic Model</x:v>
      </x:c>
      <x:c r="T19" s="10" t="str">
        <x:v>Analyst Report Workspace</x:v>
      </x:c>
      <x:c r="U19" s="10" t="str">
        <x:v>Report; Current Sprint</x:v>
      </x:c>
      <x:c r="V19" s="10" t="str">
        <x:v>Report change is reviewed, validated and ready for publishing.</x:v>
      </x:c>
      <x:c r="W19" s="10" t="str">
        <x:v>Reporting change for Victim Services Overview using the approved semantic model.</x:v>
      </x:c>
    </x:row>
    <x:row r="20" ht="15" hidden="0" customHeight="1">
      <x:c r="A20" s="10" t="n">
        <x:v>1019</x:v>
      </x:c>
      <x:c r="B20" s="10" t="n">
        <x:v>1018</x:v>
      </x:c>
      <x:c r="C20" s="10" t="str">
        <x:v>Task</x:v>
      </x:c>
      <x:c r="D20" s="10" t="str">
        <x:v>Add referral trend visual</x:v>
      </x:c>
      <x:c r="E20" s="10" t="str">
        <x:v>New</x:v>
      </x:c>
      <x:c r="F20" s="10" t="str">
        <x:v>Tom Hughes</x:v>
      </x:c>
      <x:c r="G20" s="10" t="str">
        <x:v>Medium</x:v>
      </x:c>
      <x:c r="H20" s="10" t="n">
        <x:v>0</x:v>
      </x:c>
      <x:c r="I20" s="10" t="n">
        <x:v>3</x:v>
      </x:c>
      <x:c r="J20" s="10" t="n">
        <x:v>3</x:v>
      </x:c>
      <x:c r="K20" s="10" t="n">
        <x:v>0</x:v>
      </x:c>
      <x:c r="L20" s="24" t="n">
        <x:v>0</x:v>
      </x:c>
      <x:c r="M20" s="10" t="str">
        <x:v>Sprint 2026-06</x:v>
      </x:c>
      <x:c r="N20" s="10" t="str">
        <x:v>Kent Police Reporting\Fabric Reports</x:v>
      </x:c>
      <x:c r="O20" s="10" t="str">
        <x:v>Kent Police Reporting\Sprint 2026-06</x:v>
      </x:c>
      <x:c r="P20" s="28" t="n">
        <x:v>46191</x:v>
      </x:c>
      <x:c r="Q20" s="28" t="n">
        <x:v>46198</x:v>
      </x:c>
      <x:c r="R20" s="10" t="str">
        <x:v>Victim Services Overview</x:v>
      </x:c>
      <x:c r="S20" s="10" t="str">
        <x:v>PROD - Victim Services Semantic Model</x:v>
      </x:c>
      <x:c r="T20" s="10" t="str">
        <x:v>Analyst Report Workspace</x:v>
      </x:c>
      <x:c r="U20" s="10" t="str">
        <x:v>Task; Report Build</x:v>
      </x:c>
      <x:c r="V20" s="10" t="str">
        <x:v>Task is completed and checked as part of the report change.</x:v>
      </x:c>
      <x:c r="W20" s="10" t="str">
        <x:v>Task linked to user story: Build victim services overview page.</x:v>
      </x:c>
    </x:row>
    <x:row r="21" ht="15" hidden="0" customHeight="1">
      <x:c r="A21" s="10" t="n">
        <x:v>1020</x:v>
      </x:c>
      <x:c r="B21" s="10" t="n">
        <x:v>1018</x:v>
      </x:c>
      <x:c r="C21" s="10" t="str">
        <x:v>Task</x:v>
      </x:c>
      <x:c r="D21" s="10" t="str">
        <x:v>Add service type slicer</x:v>
      </x:c>
      <x:c r="E21" s="10" t="str">
        <x:v>Closed</x:v>
      </x:c>
      <x:c r="F21" s="10" t="str">
        <x:v>Tom Hughes</x:v>
      </x:c>
      <x:c r="G21" s="10" t="str">
        <x:v>Medium</x:v>
      </x:c>
      <x:c r="H21" s="10" t="n">
        <x:v>0</x:v>
      </x:c>
      <x:c r="I21" s="10" t="n">
        <x:v>3</x:v>
      </x:c>
      <x:c r="J21" s="10" t="n">
        <x:v>0</x:v>
      </x:c>
      <x:c r="K21" s="10" t="n">
        <x:v>3</x:v>
      </x:c>
      <x:c r="L21" s="24" t="n">
        <x:v>1</x:v>
      </x:c>
      <x:c r="M21" s="10" t="str">
        <x:v>Sprint 2026-06</x:v>
      </x:c>
      <x:c r="N21" s="10" t="str">
        <x:v>Kent Police Reporting\Fabric Reports</x:v>
      </x:c>
      <x:c r="O21" s="10" t="str">
        <x:v>Kent Police Reporting\Sprint 2026-06</x:v>
      </x:c>
      <x:c r="P21" s="28" t="n">
        <x:v>46192</x:v>
      </x:c>
      <x:c r="Q21" s="28" t="n">
        <x:v>46198</x:v>
      </x:c>
      <x:c r="R21" s="10" t="str">
        <x:v>Victim Services Overview</x:v>
      </x:c>
      <x:c r="S21" s="10" t="str">
        <x:v>PROD - Victim Services Semantic Model</x:v>
      </x:c>
      <x:c r="T21" s="10" t="str">
        <x:v>Analyst Report Workspace</x:v>
      </x:c>
      <x:c r="U21" s="10" t="str">
        <x:v>Task; Report Build</x:v>
      </x:c>
      <x:c r="V21" s="10" t="str">
        <x:v>Task is completed and checked as part of the report change.</x:v>
      </x:c>
      <x:c r="W21" s="10" t="str">
        <x:v>Task linked to user story: Build victim services overview page.</x:v>
      </x:c>
    </x:row>
    <x:row r="22" ht="15" hidden="0" customHeight="1">
      <x:c r="A22" s="10" t="n">
        <x:v>1021</x:v>
      </x:c>
      <x:c r="B22" s="10" t="n">
        <x:v>1018</x:v>
      </x:c>
      <x:c r="C22" s="10" t="str">
        <x:v>Task</x:v>
      </x:c>
      <x:c r="D22" s="10" t="str">
        <x:v>Review page layout</x:v>
      </x:c>
      <x:c r="E22" s="10" t="str">
        <x:v>Active</x:v>
      </x:c>
      <x:c r="F22" s="10" t="str">
        <x:v>Tom Hughes</x:v>
      </x:c>
      <x:c r="G22" s="10" t="str">
        <x:v>Medium</x:v>
      </x:c>
      <x:c r="H22" s="10" t="n">
        <x:v>0</x:v>
      </x:c>
      <x:c r="I22" s="10" t="n">
        <x:v>2</x:v>
      </x:c>
      <x:c r="J22" s="10" t="n">
        <x:v>1</x:v>
      </x:c>
      <x:c r="K22" s="10" t="n">
        <x:v>1</x:v>
      </x:c>
      <x:c r="L22" s="24" t="n">
        <x:v>0.5</x:v>
      </x:c>
      <x:c r="M22" s="10" t="str">
        <x:v>Sprint 2026-06</x:v>
      </x:c>
      <x:c r="N22" s="10" t="str">
        <x:v>Kent Police Reporting\Fabric Reports</x:v>
      </x:c>
      <x:c r="O22" s="10" t="str">
        <x:v>Kent Police Reporting\Sprint 2026-06</x:v>
      </x:c>
      <x:c r="P22" s="28" t="n">
        <x:v>46188</x:v>
      </x:c>
      <x:c r="Q22" s="28" t="n">
        <x:v>46198</x:v>
      </x:c>
      <x:c r="R22" s="10" t="str">
        <x:v>Victim Services Overview</x:v>
      </x:c>
      <x:c r="S22" s="10" t="str">
        <x:v>PROD - Victim Services Semantic Model</x:v>
      </x:c>
      <x:c r="T22" s="10" t="str">
        <x:v>Analyst Report Workspace</x:v>
      </x:c>
      <x:c r="U22" s="10" t="str">
        <x:v>Task; Report Build</x:v>
      </x:c>
      <x:c r="V22" s="10" t="str">
        <x:v>Task is completed and checked as part of the report change.</x:v>
      </x:c>
      <x:c r="W22" s="10" t="str">
        <x:v>Task linked to user story: Build victim services overview page.</x:v>
      </x:c>
    </x:row>
    <x:row r="23" ht="26.399999618530273" hidden="0" customHeight="1">
      <x:c r="A23" s="10" t="n">
        <x:v>1022</x:v>
      </x:c>
      <x:c r="B23" s="10" t="n">
        <x:v>1002</x:v>
      </x:c>
      <x:c r="C23" s="10" t="str">
        <x:v>User Story</x:v>
      </x:c>
      <x:c r="D23" s="10" t="str">
        <x:v>Create stop and search summary visuals</x:v>
      </x:c>
      <x:c r="E23" s="10" t="str">
        <x:v>Active</x:v>
      </x:c>
      <x:c r="F23" s="10" t="str">
        <x:v>Sarah Patel</x:v>
      </x:c>
      <x:c r="G23" s="10" t="str">
        <x:v>Medium</x:v>
      </x:c>
      <x:c r="H23" s="10" t="n">
        <x:v>5</x:v>
      </x:c>
      <x:c r="I23" s="10" t="n">
        <x:v>10</x:v>
      </x:c>
      <x:c r="J23" s="10" t="n">
        <x:v>6</x:v>
      </x:c>
      <x:c r="K23" s="10" t="n">
        <x:v>4</x:v>
      </x:c>
      <x:c r="L23" s="24" t="n">
        <x:v>0.4</x:v>
      </x:c>
      <x:c r="M23" s="10" t="str">
        <x:v>Sprint 2026-06</x:v>
      </x:c>
      <x:c r="N23" s="10" t="str">
        <x:v>Kent Police Reporting\Fabric Reports</x:v>
      </x:c>
      <x:c r="O23" s="10" t="str">
        <x:v>Kent Police Reporting\Sprint 2026-06</x:v>
      </x:c>
      <x:c r="P23" s="28" t="n">
        <x:v>46188</x:v>
      </x:c>
      <x:c r="Q23" s="28" t="n">
        <x:v>46198</x:v>
      </x:c>
      <x:c r="R23" s="10" t="str">
        <x:v>Stop and Search Summary</x:v>
      </x:c>
      <x:c r="S23" s="10" t="str">
        <x:v>PROD - Stop and Search Semantic Model</x:v>
      </x:c>
      <x:c r="T23" s="10" t="str">
        <x:v>Analyst Report Workspace</x:v>
      </x:c>
      <x:c r="U23" s="10" t="str">
        <x:v>Report; Current Sprint</x:v>
      </x:c>
      <x:c r="V23" s="10" t="str">
        <x:v>Report change is reviewed, validated and ready for publishing.</x:v>
      </x:c>
      <x:c r="W23" s="10" t="str">
        <x:v>Reporting change for Stop and Search Summary using the approved semantic model.</x:v>
      </x:c>
    </x:row>
    <x:row r="24" ht="15" hidden="0" customHeight="1">
      <x:c r="A24" s="10" t="n">
        <x:v>1023</x:v>
      </x:c>
      <x:c r="B24" s="10" t="n">
        <x:v>1022</x:v>
      </x:c>
      <x:c r="C24" s="10" t="str">
        <x:v>Task</x:v>
      </x:c>
      <x:c r="D24" s="10" t="str">
        <x:v>Add summary matrix</x:v>
      </x:c>
      <x:c r="E24" s="10" t="str">
        <x:v>Closed</x:v>
      </x:c>
      <x:c r="F24" s="10" t="str">
        <x:v>Sarah Patel</x:v>
      </x:c>
      <x:c r="G24" s="10" t="str">
        <x:v>Medium</x:v>
      </x:c>
      <x:c r="H24" s="10" t="n">
        <x:v>0</x:v>
      </x:c>
      <x:c r="I24" s="10" t="n">
        <x:v>3</x:v>
      </x:c>
      <x:c r="J24" s="10" t="n">
        <x:v>0</x:v>
      </x:c>
      <x:c r="K24" s="10" t="n">
        <x:v>3</x:v>
      </x:c>
      <x:c r="L24" s="24" t="n">
        <x:v>1</x:v>
      </x:c>
      <x:c r="M24" s="10" t="str">
        <x:v>Sprint 2026-06</x:v>
      </x:c>
      <x:c r="N24" s="10" t="str">
        <x:v>Kent Police Reporting\Fabric Reports</x:v>
      </x:c>
      <x:c r="O24" s="10" t="str">
        <x:v>Kent Police Reporting\Sprint 2026-06</x:v>
      </x:c>
      <x:c r="P24" s="28" t="n">
        <x:v>46192</x:v>
      </x:c>
      <x:c r="Q24" s="28" t="n">
        <x:v>46198</x:v>
      </x:c>
      <x:c r="R24" s="10" t="str">
        <x:v>Stop and Search Summary</x:v>
      </x:c>
      <x:c r="S24" s="10" t="str">
        <x:v>PROD - Stop and Search Semantic Model</x:v>
      </x:c>
      <x:c r="T24" s="10" t="str">
        <x:v>Analyst Report Workspace</x:v>
      </x:c>
      <x:c r="U24" s="10" t="str">
        <x:v>Task; Report Build</x:v>
      </x:c>
      <x:c r="V24" s="10" t="str">
        <x:v>Task is completed and checked as part of the report change.</x:v>
      </x:c>
      <x:c r="W24" s="10" t="str">
        <x:v>Task linked to user story: Create stop and search summary visuals.</x:v>
      </x:c>
    </x:row>
    <x:row r="25" ht="15" hidden="0" customHeight="1">
      <x:c r="A25" s="10" t="n">
        <x:v>1024</x:v>
      </x:c>
      <x:c r="B25" s="10" t="n">
        <x:v>1022</x:v>
      </x:c>
      <x:c r="C25" s="10" t="str">
        <x:v>Task</x:v>
      </x:c>
      <x:c r="D25" s="10" t="str">
        <x:v>Create monthly comparison chart</x:v>
      </x:c>
      <x:c r="E25" s="10" t="str">
        <x:v>Active</x:v>
      </x:c>
      <x:c r="F25" s="10" t="str">
        <x:v>Sarah Patel</x:v>
      </x:c>
      <x:c r="G25" s="10" t="str">
        <x:v>Medium</x:v>
      </x:c>
      <x:c r="H25" s="10" t="n">
        <x:v>0</x:v>
      </x:c>
      <x:c r="I25" s="10" t="n">
        <x:v>3</x:v>
      </x:c>
      <x:c r="J25" s="10" t="n">
        <x:v>2</x:v>
      </x:c>
      <x:c r="K25" s="10" t="n">
        <x:v>1</x:v>
      </x:c>
      <x:c r="L25" s="24" t="n">
        <x:v>0.33</x:v>
      </x:c>
      <x:c r="M25" s="10" t="str">
        <x:v>Sprint 2026-06</x:v>
      </x:c>
      <x:c r="N25" s="10" t="str">
        <x:v>Kent Police Reporting\Fabric Reports</x:v>
      </x:c>
      <x:c r="O25" s="10" t="str">
        <x:v>Kent Police Reporting\Sprint 2026-06</x:v>
      </x:c>
      <x:c r="P25" s="28" t="n">
        <x:v>46188</x:v>
      </x:c>
      <x:c r="Q25" s="28" t="n">
        <x:v>46198</x:v>
      </x:c>
      <x:c r="R25" s="10" t="str">
        <x:v>Stop and Search Summary</x:v>
      </x:c>
      <x:c r="S25" s="10" t="str">
        <x:v>PROD - Stop and Search Semantic Model</x:v>
      </x:c>
      <x:c r="T25" s="10" t="str">
        <x:v>Analyst Report Workspace</x:v>
      </x:c>
      <x:c r="U25" s="10" t="str">
        <x:v>Task; Report Build</x:v>
      </x:c>
      <x:c r="V25" s="10" t="str">
        <x:v>Task is completed and checked as part of the report change.</x:v>
      </x:c>
      <x:c r="W25" s="10" t="str">
        <x:v>Task linked to user story: Create stop and search summary visuals.</x:v>
      </x:c>
    </x:row>
    <x:row r="26" ht="15" hidden="0" customHeight="1">
      <x:c r="A26" s="10" t="n">
        <x:v>1025</x:v>
      </x:c>
      <x:c r="B26" s="10" t="n">
        <x:v>1022</x:v>
      </x:c>
      <x:c r="C26" s="10" t="str">
        <x:v>Task</x:v>
      </x:c>
      <x:c r="D26" s="10" t="str">
        <x:v>Check labels and titles</x:v>
      </x:c>
      <x:c r="E26" s="10" t="str">
        <x:v>Resolved</x:v>
      </x:c>
      <x:c r="F26" s="10" t="str">
        <x:v>Sarah Patel</x:v>
      </x:c>
      <x:c r="G26" s="10" t="str">
        <x:v>Medium</x:v>
      </x:c>
      <x:c r="H26" s="10" t="n">
        <x:v>0</x:v>
      </x:c>
      <x:c r="I26" s="10" t="n">
        <x:v>2</x:v>
      </x:c>
      <x:c r="J26" s="10" t="n">
        <x:v>1</x:v>
      </x:c>
      <x:c r="K26" s="10" t="n">
        <x:v>1</x:v>
      </x:c>
      <x:c r="L26" s="24" t="n">
        <x:v>0.5</x:v>
      </x:c>
      <x:c r="M26" s="10" t="str">
        <x:v>Sprint 2026-06</x:v>
      </x:c>
      <x:c r="N26" s="10" t="str">
        <x:v>Kent Police Reporting\Fabric Reports</x:v>
      </x:c>
      <x:c r="O26" s="10" t="str">
        <x:v>Kent Police Reporting\Sprint 2026-06</x:v>
      </x:c>
      <x:c r="P26" s="28" t="n">
        <x:v>46189</x:v>
      </x:c>
      <x:c r="Q26" s="28" t="n">
        <x:v>46198</x:v>
      </x:c>
      <x:c r="R26" s="10" t="str">
        <x:v>Stop and Search Summary</x:v>
      </x:c>
      <x:c r="S26" s="10" t="str">
        <x:v>PROD - Stop and Search Semantic Model</x:v>
      </x:c>
      <x:c r="T26" s="10" t="str">
        <x:v>Analyst Report Workspace</x:v>
      </x:c>
      <x:c r="U26" s="10" t="str">
        <x:v>Task; Report Build</x:v>
      </x:c>
      <x:c r="V26" s="10" t="str">
        <x:v>Task is completed and checked as part of the report change.</x:v>
      </x:c>
      <x:c r="W26" s="10" t="str">
        <x:v>Task linked to user story: Create stop and search summary visuals.</x:v>
      </x:c>
    </x:row>
    <x:row r="27" ht="26.399999618530273" hidden="0" customHeight="1">
      <x:c r="A27" s="10" t="n">
        <x:v>1026</x:v>
      </x:c>
      <x:c r="B27" s="10" t="n">
        <x:v>1002</x:v>
      </x:c>
      <x:c r="C27" s="10" t="str">
        <x:v>User Story</x:v>
      </x:c>
      <x:c r="D27" s="10" t="str">
        <x:v>Update operational demand dashboard filters</x:v>
      </x:c>
      <x:c r="E27" s="10" t="str">
        <x:v>Resolved</x:v>
      </x:c>
      <x:c r="F27" s="10" t="str">
        <x:v>Amelia Brown</x:v>
      </x:c>
      <x:c r="G27" s="10" t="str">
        <x:v>High</x:v>
      </x:c>
      <x:c r="H27" s="10" t="n">
        <x:v>3</x:v>
      </x:c>
      <x:c r="I27" s="10" t="n">
        <x:v>6</x:v>
      </x:c>
      <x:c r="J27" s="10" t="n">
        <x:v>2</x:v>
      </x:c>
      <x:c r="K27" s="10" t="n">
        <x:v>4</x:v>
      </x:c>
      <x:c r="L27" s="24" t="n">
        <x:v>0.67</x:v>
      </x:c>
      <x:c r="M27" s="10" t="str">
        <x:v>Sprint 2026-06</x:v>
      </x:c>
      <x:c r="N27" s="10" t="str">
        <x:v>Kent Police Reporting\Fabric Reports</x:v>
      </x:c>
      <x:c r="O27" s="10" t="str">
        <x:v>Kent Police Reporting\Sprint 2026-06</x:v>
      </x:c>
      <x:c r="P27" s="28" t="n">
        <x:v>46189</x:v>
      </x:c>
      <x:c r="Q27" s="28" t="n">
        <x:v>46198</x:v>
      </x:c>
      <x:c r="R27" s="10" t="str">
        <x:v>Operational Demand Dashboard</x:v>
      </x:c>
      <x:c r="S27" s="10" t="str">
        <x:v>PROD - Incident Reporting Semantic Model</x:v>
      </x:c>
      <x:c r="T27" s="10" t="str">
        <x:v>Analyst Report Workspace</x:v>
      </x:c>
      <x:c r="U27" s="10" t="str">
        <x:v>Report; Current Sprint</x:v>
      </x:c>
      <x:c r="V27" s="10" t="str">
        <x:v>Report change is reviewed, validated and ready for publishing.</x:v>
      </x:c>
      <x:c r="W27" s="10" t="str">
        <x:v>Reporting change for Operational Demand Dashboard using the approved semantic model.</x:v>
      </x:c>
    </x:row>
    <x:row r="28" ht="15" hidden="0" customHeight="1">
      <x:c r="A28" s="10" t="n">
        <x:v>1027</x:v>
      </x:c>
      <x:c r="B28" s="10" t="n">
        <x:v>1026</x:v>
      </x:c>
      <x:c r="C28" s="10" t="str">
        <x:v>Task</x:v>
      </x:c>
      <x:c r="D28" s="10" t="str">
        <x:v>Add report-level filters</x:v>
      </x:c>
      <x:c r="E28" s="10" t="str">
        <x:v>Active</x:v>
      </x:c>
      <x:c r="F28" s="10" t="str">
        <x:v>Amelia Brown</x:v>
      </x:c>
      <x:c r="G28" s="10" t="str">
        <x:v>High</x:v>
      </x:c>
      <x:c r="H28" s="10" t="n">
        <x:v>0</x:v>
      </x:c>
      <x:c r="I28" s="10" t="n">
        <x:v>3</x:v>
      </x:c>
      <x:c r="J28" s="10" t="n">
        <x:v>2</x:v>
      </x:c>
      <x:c r="K28" s="10" t="n">
        <x:v>1</x:v>
      </x:c>
      <x:c r="L28" s="24" t="n">
        <x:v>0.33</x:v>
      </x:c>
      <x:c r="M28" s="10" t="str">
        <x:v>Sprint 2026-06</x:v>
      </x:c>
      <x:c r="N28" s="10" t="str">
        <x:v>Kent Police Reporting\Fabric Reports</x:v>
      </x:c>
      <x:c r="O28" s="10" t="str">
        <x:v>Kent Police Reporting\Sprint 2026-06</x:v>
      </x:c>
      <x:c r="P28" s="28" t="n">
        <x:v>46188</x:v>
      </x:c>
      <x:c r="Q28" s="28" t="n">
        <x:v>46198</x:v>
      </x:c>
      <x:c r="R28" s="10" t="str">
        <x:v>Operational Demand Dashboard</x:v>
      </x:c>
      <x:c r="S28" s="10" t="str">
        <x:v>PROD - Incident Reporting Semantic Model</x:v>
      </x:c>
      <x:c r="T28" s="10" t="str">
        <x:v>Analyst Report Workspace</x:v>
      </x:c>
      <x:c r="U28" s="10" t="str">
        <x:v>Task; Report Build</x:v>
      </x:c>
      <x:c r="V28" s="10" t="str">
        <x:v>Task is completed and checked as part of the report change.</x:v>
      </x:c>
      <x:c r="W28" s="10" t="str">
        <x:v>Task linked to user story: Update operational demand dashboard filters.</x:v>
      </x:c>
    </x:row>
    <x:row r="29" ht="15" hidden="0" customHeight="1">
      <x:c r="A29" s="10" t="n">
        <x:v>1028</x:v>
      </x:c>
      <x:c r="B29" s="10" t="n">
        <x:v>1026</x:v>
      </x:c>
      <x:c r="C29" s="10" t="str">
        <x:v>Task</x:v>
      </x:c>
      <x:c r="D29" s="10" t="str">
        <x:v>Test filter interactions</x:v>
      </x:c>
      <x:c r="E29" s="10" t="str">
        <x:v>Resolved</x:v>
      </x:c>
      <x:c r="F29" s="10" t="str">
        <x:v>Amelia Brown</x:v>
      </x:c>
      <x:c r="G29" s="10" t="str">
        <x:v>High</x:v>
      </x:c>
      <x:c r="H29" s="10" t="n">
        <x:v>0</x:v>
      </x:c>
      <x:c r="I29" s="10" t="n">
        <x:v>3</x:v>
      </x:c>
      <x:c r="J29" s="10" t="n">
        <x:v>1</x:v>
      </x:c>
      <x:c r="K29" s="10" t="n">
        <x:v>2</x:v>
      </x:c>
      <x:c r="L29" s="24" t="n">
        <x:v>0.67</x:v>
      </x:c>
      <x:c r="M29" s="10" t="str">
        <x:v>Sprint 2026-06</x:v>
      </x:c>
      <x:c r="N29" s="10" t="str">
        <x:v>Kent Police Reporting\Fabric Reports</x:v>
      </x:c>
      <x:c r="O29" s="10" t="str">
        <x:v>Kent Police Reporting\Sprint 2026-06</x:v>
      </x:c>
      <x:c r="P29" s="28" t="n">
        <x:v>46189</x:v>
      </x:c>
      <x:c r="Q29" s="28" t="n">
        <x:v>46198</x:v>
      </x:c>
      <x:c r="R29" s="10" t="str">
        <x:v>Operational Demand Dashboard</x:v>
      </x:c>
      <x:c r="S29" s="10" t="str">
        <x:v>PROD - Incident Reporting Semantic Model</x:v>
      </x:c>
      <x:c r="T29" s="10" t="str">
        <x:v>Analyst Report Workspace</x:v>
      </x:c>
      <x:c r="U29" s="10" t="str">
        <x:v>Task; Report Build</x:v>
      </x:c>
      <x:c r="V29" s="10" t="str">
        <x:v>Task is completed and checked as part of the report change.</x:v>
      </x:c>
      <x:c r="W29" s="10" t="str">
        <x:v>Task linked to user story: Update operational demand dashboard filters.</x:v>
      </x:c>
    </x:row>
    <x:row r="30" ht="15" hidden="0" customHeight="1">
      <x:c r="A30" s="10" t="n">
        <x:v>1029</x:v>
      </x:c>
      <x:c r="B30" s="10" t="n">
        <x:v>1026</x:v>
      </x:c>
      <x:c r="C30" s="10" t="str">
        <x:v>Task</x:v>
      </x:c>
      <x:c r="D30" s="10" t="str">
        <x:v>Save version before publishing</x:v>
      </x:c>
      <x:c r="E30" s="10" t="str">
        <x:v>New</x:v>
      </x:c>
      <x:c r="F30" s="10" t="str">
        <x:v>Amelia Brown</x:v>
      </x:c>
      <x:c r="G30" s="10" t="str">
        <x:v>High</x:v>
      </x:c>
      <x:c r="H30" s="10" t="n">
        <x:v>0</x:v>
      </x:c>
      <x:c r="I30" s="10" t="n">
        <x:v>2</x:v>
      </x:c>
      <x:c r="J30" s="10" t="n">
        <x:v>2</x:v>
      </x:c>
      <x:c r="K30" s="10" t="n">
        <x:v>0</x:v>
      </x:c>
      <x:c r="L30" s="24" t="n">
        <x:v>0</x:v>
      </x:c>
      <x:c r="M30" s="10" t="str">
        <x:v>Sprint 2026-06</x:v>
      </x:c>
      <x:c r="N30" s="10" t="str">
        <x:v>Kent Police Reporting\Fabric Reports</x:v>
      </x:c>
      <x:c r="O30" s="10" t="str">
        <x:v>Kent Police Reporting\Sprint 2026-06</x:v>
      </x:c>
      <x:c r="P30" s="28" t="n">
        <x:v>46190</x:v>
      </x:c>
      <x:c r="Q30" s="28" t="n">
        <x:v>46198</x:v>
      </x:c>
      <x:c r="R30" s="10" t="str">
        <x:v>Operational Demand Dashboard</x:v>
      </x:c>
      <x:c r="S30" s="10" t="str">
        <x:v>PROD - Incident Reporting Semantic Model</x:v>
      </x:c>
      <x:c r="T30" s="10" t="str">
        <x:v>Analyst Report Workspace</x:v>
      </x:c>
      <x:c r="U30" s="10" t="str">
        <x:v>Task; Report Build</x:v>
      </x:c>
      <x:c r="V30" s="10" t="str">
        <x:v>Task is completed and checked as part of the report change.</x:v>
      </x:c>
      <x:c r="W30" s="10" t="str">
        <x:v>Task linked to user story: Update operational demand dashboard filters.</x:v>
      </x:c>
    </x:row>
    <x:row r="31" ht="15" hidden="0" customHeight="1">
      <x:c r="A31" s="10" t="n">
        <x:v>1030</x:v>
      </x:c>
      <x:c r="B31" s="10" t="n">
        <x:v>1003</x:v>
      </x:c>
      <x:c r="C31" s="10" t="str">
        <x:v>User Story</x:v>
      </x:c>
      <x:c r="D31" s="10" t="str">
        <x:v>Define report publishing checklist</x:v>
      </x:c>
      <x:c r="E31" s="10" t="str">
        <x:v>Closed</x:v>
      </x:c>
      <x:c r="F31" s="10" t="str">
        <x:v>Sarah Patel</x:v>
      </x:c>
      <x:c r="G31" s="10" t="str">
        <x:v>Medium</x:v>
      </x:c>
      <x:c r="H31" s="10" t="n">
        <x:v>3</x:v>
      </x:c>
      <x:c r="I31" s="10" t="n">
        <x:v>6</x:v>
      </x:c>
      <x:c r="J31" s="10" t="n">
        <x:v>0</x:v>
      </x:c>
      <x:c r="K31" s="10" t="n">
        <x:v>6</x:v>
      </x:c>
      <x:c r="L31" s="24" t="n">
        <x:v>1</x:v>
      </x:c>
      <x:c r="M31" s="10" t="str">
        <x:v>Sprint 2026-06</x:v>
      </x:c>
      <x:c r="N31" s="10" t="str">
        <x:v>Kent Police Reporting\Fabric Reports</x:v>
      </x:c>
      <x:c r="O31" s="10" t="str">
        <x:v>Kent Police Reporting\Sprint 2026-06</x:v>
      </x:c>
      <x:c r="P31" s="28" t="n">
        <x:v>46190</x:v>
      </x:c>
      <x:c r="Q31" s="28" t="n">
        <x:v>46198</x:v>
      </x:c>
      <x:c r="R31" s="10" t="str">
        <x:v>All Reporting Packs</x:v>
      </x:c>
      <x:c r="S31" s="10" t="str">
        <x:v>PROD - Approved Semantic Models</x:v>
      </x:c>
      <x:c r="T31" s="10" t="str">
        <x:v>Analyst Report Workspace</x:v>
      </x:c>
      <x:c r="U31" s="10" t="str">
        <x:v>Report; Current Sprint</x:v>
      </x:c>
      <x:c r="V31" s="10" t="str">
        <x:v>Report change is reviewed, validated and ready for publishing.</x:v>
      </x:c>
      <x:c r="W31" s="10" t="str">
        <x:v>Reporting change for All Reporting Packs using the approved semantic model.</x:v>
      </x:c>
    </x:row>
    <x:row r="32" ht="15" hidden="0" customHeight="1">
      <x:c r="A32" s="10" t="n">
        <x:v>1031</x:v>
      </x:c>
      <x:c r="B32" s="10" t="n">
        <x:v>1030</x:v>
      </x:c>
      <x:c r="C32" s="10" t="str">
        <x:v>Task</x:v>
      </x:c>
      <x:c r="D32" s="10" t="str">
        <x:v>Draft checklist</x:v>
      </x:c>
      <x:c r="E32" s="10" t="str">
        <x:v>Resolved</x:v>
      </x:c>
      <x:c r="F32" s="10" t="str">
        <x:v>Sarah Patel</x:v>
      </x:c>
      <x:c r="G32" s="10" t="str">
        <x:v>Medium</x:v>
      </x:c>
      <x:c r="H32" s="10" t="n">
        <x:v>0</x:v>
      </x:c>
      <x:c r="I32" s="10" t="n">
        <x:v>3</x:v>
      </x:c>
      <x:c r="J32" s="10" t="n">
        <x:v>1</x:v>
      </x:c>
      <x:c r="K32" s="10" t="n">
        <x:v>2</x:v>
      </x:c>
      <x:c r="L32" s="24" t="n">
        <x:v>0.67</x:v>
      </x:c>
      <x:c r="M32" s="10" t="str">
        <x:v>Sprint 2026-06</x:v>
      </x:c>
      <x:c r="N32" s="10" t="str">
        <x:v>Kent Police Reporting\Fabric Reports</x:v>
      </x:c>
      <x:c r="O32" s="10" t="str">
        <x:v>Kent Police Reporting\Sprint 2026-06</x:v>
      </x:c>
      <x:c r="P32" s="28" t="n">
        <x:v>46189</x:v>
      </x:c>
      <x:c r="Q32" s="28" t="n">
        <x:v>46198</x:v>
      </x:c>
      <x:c r="R32" s="10" t="str">
        <x:v>All Reporting Packs</x:v>
      </x:c>
      <x:c r="S32" s="10" t="str">
        <x:v>PROD - Approved Semantic Models</x:v>
      </x:c>
      <x:c r="T32" s="10" t="str">
        <x:v>Analyst Report Workspace</x:v>
      </x:c>
      <x:c r="U32" s="10" t="str">
        <x:v>Task; Report Build</x:v>
      </x:c>
      <x:c r="V32" s="10" t="str">
        <x:v>Task is completed and checked as part of the report change.</x:v>
      </x:c>
      <x:c r="W32" s="10" t="str">
        <x:v>Task linked to user story: Define report publishing checklist.</x:v>
      </x:c>
    </x:row>
    <x:row r="33" ht="15" hidden="0" customHeight="1">
      <x:c r="A33" s="10" t="n">
        <x:v>1032</x:v>
      </x:c>
      <x:c r="B33" s="10" t="n">
        <x:v>1030</x:v>
      </x:c>
      <x:c r="C33" s="10" t="str">
        <x:v>Task</x:v>
      </x:c>
      <x:c r="D33" s="10" t="str">
        <x:v>Review with reporting team</x:v>
      </x:c>
      <x:c r="E33" s="10" t="str">
        <x:v>New</x:v>
      </x:c>
      <x:c r="F33" s="10" t="str">
        <x:v>Sarah Patel</x:v>
      </x:c>
      <x:c r="G33" s="10" t="str">
        <x:v>Medium</x:v>
      </x:c>
      <x:c r="H33" s="10" t="n">
        <x:v>0</x:v>
      </x:c>
      <x:c r="I33" s="10" t="n">
        <x:v>3</x:v>
      </x:c>
      <x:c r="J33" s="10" t="n">
        <x:v>3</x:v>
      </x:c>
      <x:c r="K33" s="10" t="n">
        <x:v>0</x:v>
      </x:c>
      <x:c r="L33" s="24" t="n">
        <x:v>0</x:v>
      </x:c>
      <x:c r="M33" s="10" t="str">
        <x:v>Sprint 2026-06</x:v>
      </x:c>
      <x:c r="N33" s="10" t="str">
        <x:v>Kent Police Reporting\Fabric Reports</x:v>
      </x:c>
      <x:c r="O33" s="10" t="str">
        <x:v>Kent Police Reporting\Sprint 2026-06</x:v>
      </x:c>
      <x:c r="P33" s="28" t="n">
        <x:v>46190</x:v>
      </x:c>
      <x:c r="Q33" s="28" t="n">
        <x:v>46198</x:v>
      </x:c>
      <x:c r="R33" s="10" t="str">
        <x:v>All Reporting Packs</x:v>
      </x:c>
      <x:c r="S33" s="10" t="str">
        <x:v>PROD - Approved Semantic Models</x:v>
      </x:c>
      <x:c r="T33" s="10" t="str">
        <x:v>Analyst Report Workspace</x:v>
      </x:c>
      <x:c r="U33" s="10" t="str">
        <x:v>Task; Report Build</x:v>
      </x:c>
      <x:c r="V33" s="10" t="str">
        <x:v>Task is completed and checked as part of the report change.</x:v>
      </x:c>
      <x:c r="W33" s="10" t="str">
        <x:v>Task linked to user story: Define report publishing checklist.</x:v>
      </x:c>
    </x:row>
    <x:row r="34" ht="15" hidden="0" customHeight="1">
      <x:c r="A34" s="10" t="n">
        <x:v>1033</x:v>
      </x:c>
      <x:c r="B34" s="10" t="n">
        <x:v>1030</x:v>
      </x:c>
      <x:c r="C34" s="10" t="str">
        <x:v>Task</x:v>
      </x:c>
      <x:c r="D34" s="10" t="str">
        <x:v>Publish checklist in shared location</x:v>
      </x:c>
      <x:c r="E34" s="10" t="str">
        <x:v>Closed</x:v>
      </x:c>
      <x:c r="F34" s="10" t="str">
        <x:v>Sarah Patel</x:v>
      </x:c>
      <x:c r="G34" s="10" t="str">
        <x:v>Medium</x:v>
      </x:c>
      <x:c r="H34" s="10" t="n">
        <x:v>0</x:v>
      </x:c>
      <x:c r="I34" s="10" t="n">
        <x:v>2</x:v>
      </x:c>
      <x:c r="J34" s="10" t="n">
        <x:v>0</x:v>
      </x:c>
      <x:c r="K34" s="10" t="n">
        <x:v>2</x:v>
      </x:c>
      <x:c r="L34" s="24" t="n">
        <x:v>1</x:v>
      </x:c>
      <x:c r="M34" s="10" t="str">
        <x:v>Sprint 2026-06</x:v>
      </x:c>
      <x:c r="N34" s="10" t="str">
        <x:v>Kent Police Reporting\Fabric Reports</x:v>
      </x:c>
      <x:c r="O34" s="10" t="str">
        <x:v>Kent Police Reporting\Sprint 2026-06</x:v>
      </x:c>
      <x:c r="P34" s="28" t="n">
        <x:v>46191</x:v>
      </x:c>
      <x:c r="Q34" s="28" t="n">
        <x:v>46198</x:v>
      </x:c>
      <x:c r="R34" s="10" t="str">
        <x:v>All Reporting Packs</x:v>
      </x:c>
      <x:c r="S34" s="10" t="str">
        <x:v>PROD - Approved Semantic Models</x:v>
      </x:c>
      <x:c r="T34" s="10" t="str">
        <x:v>Analyst Report Workspace</x:v>
      </x:c>
      <x:c r="U34" s="10" t="str">
        <x:v>Task; Report Build</x:v>
      </x:c>
      <x:c r="V34" s="10" t="str">
        <x:v>Task is completed and checked as part of the report change.</x:v>
      </x:c>
      <x:c r="W34" s="10" t="str">
        <x:v>Task linked to user story: Define report publishing checklist.</x:v>
      </x:c>
    </x:row>
    <x:row r="35" ht="15" hidden="0" customHeight="1">
      <x:c r="A35" s="10" t="n">
        <x:v>1034</x:v>
      </x:c>
      <x:c r="B35" s="10" t="n">
        <x:v>1003</x:v>
      </x:c>
      <x:c r="C35" s="10" t="str">
        <x:v>User Story</x:v>
      </x:c>
      <x:c r="D35" s="10" t="str">
        <x:v>Add version history note for report updates</x:v>
      </x:c>
      <x:c r="E35" s="10" t="str">
        <x:v>New</x:v>
      </x:c>
      <x:c r="F35" s="10" t="str">
        <x:v>Kishore K</x:v>
      </x:c>
      <x:c r="G35" s="10" t="str">
        <x:v>Medium</x:v>
      </x:c>
      <x:c r="H35" s="10" t="n">
        <x:v>2</x:v>
      </x:c>
      <x:c r="I35" s="10" t="n">
        <x:v>4</x:v>
      </x:c>
      <x:c r="J35" s="10" t="n">
        <x:v>4</x:v>
      </x:c>
      <x:c r="K35" s="10" t="n">
        <x:v>0</x:v>
      </x:c>
      <x:c r="L35" s="24" t="n">
        <x:v>0</x:v>
      </x:c>
      <x:c r="M35" s="10" t="str">
        <x:v>Sprint 2026-06</x:v>
      </x:c>
      <x:c r="N35" s="10" t="str">
        <x:v>Kent Police Reporting\Fabric Reports</x:v>
      </x:c>
      <x:c r="O35" s="10" t="str">
        <x:v>Kent Police Reporting\Sprint 2026-06</x:v>
      </x:c>
      <x:c r="P35" s="28" t="n">
        <x:v>46191</x:v>
      </x:c>
      <x:c r="Q35" s="28" t="n">
        <x:v>46198</x:v>
      </x:c>
      <x:c r="R35" s="10" t="str">
        <x:v>All Reporting Packs</x:v>
      </x:c>
      <x:c r="S35" s="10" t="str">
        <x:v>PROD - Approved Semantic Models</x:v>
      </x:c>
      <x:c r="T35" s="10" t="str">
        <x:v>Analyst Report Workspace</x:v>
      </x:c>
      <x:c r="U35" s="10" t="str">
        <x:v>Report; Current Sprint</x:v>
      </x:c>
      <x:c r="V35" s="10" t="str">
        <x:v>Report change is reviewed, validated and ready for publishing.</x:v>
      </x:c>
      <x:c r="W35" s="10" t="str">
        <x:v>Reporting change for All Reporting Packs using the approved semantic model.</x:v>
      </x:c>
    </x:row>
    <x:row r="36" ht="15" hidden="0" customHeight="1">
      <x:c r="A36" s="10" t="n">
        <x:v>1035</x:v>
      </x:c>
      <x:c r="B36" s="10" t="n">
        <x:v>1034</x:v>
      </x:c>
      <x:c r="C36" s="10" t="str">
        <x:v>Task</x:v>
      </x:c>
      <x:c r="D36" s="10" t="str">
        <x:v>Add change note template</x:v>
      </x:c>
      <x:c r="E36" s="10" t="str">
        <x:v>New</x:v>
      </x:c>
      <x:c r="F36" s="10" t="str">
        <x:v>Kishore K</x:v>
      </x:c>
      <x:c r="G36" s="10" t="str">
        <x:v>Medium</x:v>
      </x:c>
      <x:c r="H36" s="10" t="n">
        <x:v>0</x:v>
      </x:c>
      <x:c r="I36" s="10" t="n">
        <x:v>3</x:v>
      </x:c>
      <x:c r="J36" s="10" t="n">
        <x:v>3</x:v>
      </x:c>
      <x:c r="K36" s="10" t="n">
        <x:v>0</x:v>
      </x:c>
      <x:c r="L36" s="24" t="n">
        <x:v>0</x:v>
      </x:c>
      <x:c r="M36" s="10" t="str">
        <x:v>Sprint 2026-06</x:v>
      </x:c>
      <x:c r="N36" s="10" t="str">
        <x:v>Kent Police Reporting\Fabric Reports</x:v>
      </x:c>
      <x:c r="O36" s="10" t="str">
        <x:v>Kent Police Reporting\Sprint 2026-06</x:v>
      </x:c>
      <x:c r="P36" s="28" t="n">
        <x:v>46190</x:v>
      </x:c>
      <x:c r="Q36" s="28" t="n">
        <x:v>46198</x:v>
      </x:c>
      <x:c r="R36" s="10" t="str">
        <x:v>All Reporting Packs</x:v>
      </x:c>
      <x:c r="S36" s="10" t="str">
        <x:v>PROD - Approved Semantic Models</x:v>
      </x:c>
      <x:c r="T36" s="10" t="str">
        <x:v>Analyst Report Workspace</x:v>
      </x:c>
      <x:c r="U36" s="10" t="str">
        <x:v>Task; Report Build</x:v>
      </x:c>
      <x:c r="V36" s="10" t="str">
        <x:v>Task is completed and checked as part of the report change.</x:v>
      </x:c>
      <x:c r="W36" s="10" t="str">
        <x:v>Task linked to user story: Add version history note for report updates.</x:v>
      </x:c>
    </x:row>
    <x:row r="37" ht="15" hidden="0" customHeight="1">
      <x:c r="A37" s="10" t="n">
        <x:v>1036</x:v>
      </x:c>
      <x:c r="B37" s="10" t="n">
        <x:v>1034</x:v>
      </x:c>
      <x:c r="C37" s="10" t="str">
        <x:v>Task</x:v>
      </x:c>
      <x:c r="D37" s="10" t="str">
        <x:v>Update sample report description</x:v>
      </x:c>
      <x:c r="E37" s="10" t="str">
        <x:v>Closed</x:v>
      </x:c>
      <x:c r="F37" s="10" t="str">
        <x:v>Kishore K</x:v>
      </x:c>
      <x:c r="G37" s="10" t="str">
        <x:v>Medium</x:v>
      </x:c>
      <x:c r="H37" s="10" t="n">
        <x:v>0</x:v>
      </x:c>
      <x:c r="I37" s="10" t="n">
        <x:v>3</x:v>
      </x:c>
      <x:c r="J37" s="10" t="n">
        <x:v>0</x:v>
      </x:c>
      <x:c r="K37" s="10" t="n">
        <x:v>3</x:v>
      </x:c>
      <x:c r="L37" s="24" t="n">
        <x:v>1</x:v>
      </x:c>
      <x:c r="M37" s="10" t="str">
        <x:v>Sprint 2026-06</x:v>
      </x:c>
      <x:c r="N37" s="10" t="str">
        <x:v>Kent Police Reporting\Fabric Reports</x:v>
      </x:c>
      <x:c r="O37" s="10" t="str">
        <x:v>Kent Police Reporting\Sprint 2026-06</x:v>
      </x:c>
      <x:c r="P37" s="28" t="n">
        <x:v>46191</x:v>
      </x:c>
      <x:c r="Q37" s="28" t="n">
        <x:v>46198</x:v>
      </x:c>
      <x:c r="R37" s="10" t="str">
        <x:v>All Reporting Packs</x:v>
      </x:c>
      <x:c r="S37" s="10" t="str">
        <x:v>PROD - Approved Semantic Models</x:v>
      </x:c>
      <x:c r="T37" s="10" t="str">
        <x:v>Analyst Report Workspace</x:v>
      </x:c>
      <x:c r="U37" s="10" t="str">
        <x:v>Task; Report Build</x:v>
      </x:c>
      <x:c r="V37" s="10" t="str">
        <x:v>Task is completed and checked as part of the report change.</x:v>
      </x:c>
      <x:c r="W37" s="10" t="str">
        <x:v>Task linked to user story: Add version history note for report updates.</x:v>
      </x:c>
    </x:row>
    <x:row r="38" ht="15" hidden="0" customHeight="1">
      <x:c r="A38" s="10" t="n">
        <x:v>1037</x:v>
      </x:c>
      <x:c r="B38" s="10" t="n">
        <x:v>1034</x:v>
      </x:c>
      <x:c r="C38" s="10" t="str">
        <x:v>Task</x:v>
      </x:c>
      <x:c r="D38" s="10" t="str">
        <x:v>Confirm save process</x:v>
      </x:c>
      <x:c r="E38" s="10" t="str">
        <x:v>Active</x:v>
      </x:c>
      <x:c r="F38" s="10" t="str">
        <x:v>Kishore K</x:v>
      </x:c>
      <x:c r="G38" s="10" t="str">
        <x:v>Medium</x:v>
      </x:c>
      <x:c r="H38" s="10" t="n">
        <x:v>0</x:v>
      </x:c>
      <x:c r="I38" s="10" t="n">
        <x:v>2</x:v>
      </x:c>
      <x:c r="J38" s="10" t="n">
        <x:v>1</x:v>
      </x:c>
      <x:c r="K38" s="10" t="n">
        <x:v>1</x:v>
      </x:c>
      <x:c r="L38" s="24" t="n">
        <x:v>0.5</x:v>
      </x:c>
      <x:c r="M38" s="10" t="str">
        <x:v>Sprint 2026-06</x:v>
      </x:c>
      <x:c r="N38" s="10" t="str">
        <x:v>Kent Police Reporting\Fabric Reports</x:v>
      </x:c>
      <x:c r="O38" s="10" t="str">
        <x:v>Kent Police Reporting\Sprint 2026-06</x:v>
      </x:c>
      <x:c r="P38" s="28" t="n">
        <x:v>46192</x:v>
      </x:c>
      <x:c r="Q38" s="28" t="n">
        <x:v>46198</x:v>
      </x:c>
      <x:c r="R38" s="10" t="str">
        <x:v>All Reporting Packs</x:v>
      </x:c>
      <x:c r="S38" s="10" t="str">
        <x:v>PROD - Approved Semantic Models</x:v>
      </x:c>
      <x:c r="T38" s="10" t="str">
        <x:v>Analyst Report Workspace</x:v>
      </x:c>
      <x:c r="U38" s="10" t="str">
        <x:v>Task; Report Build</x:v>
      </x:c>
      <x:c r="V38" s="10" t="str">
        <x:v>Task is completed and checked as part of the report change.</x:v>
      </x:c>
      <x:c r="W38" s="10" t="str">
        <x:v>Task linked to user story: Add version history note for report updates.</x:v>
      </x:c>
    </x:row>
    <x:row r="39" ht="26.399999618530273" hidden="0" customHeight="1">
      <x:c r="A39" s="10" t="n">
        <x:v>1038</x:v>
      </x:c>
      <x:c r="B39" s="10" t="n">
        <x:v>1005</x:v>
      </x:c>
      <x:c r="C39" s="10" t="str">
        <x:v>User Story</x:v>
      </x:c>
      <x:c r="D39" s="10" t="str">
        <x:v>Prepare current sprint board for reporting demo</x:v>
      </x:c>
      <x:c r="E39" s="10" t="str">
        <x:v>Active</x:v>
      </x:c>
      <x:c r="F39" s="10" t="str">
        <x:v>Daniel Carter</x:v>
      </x:c>
      <x:c r="G39" s="10" t="str">
        <x:v>High</x:v>
      </x:c>
      <x:c r="H39" s="10" t="n">
        <x:v>5</x:v>
      </x:c>
      <x:c r="I39" s="10" t="n">
        <x:v>10</x:v>
      </x:c>
      <x:c r="J39" s="10" t="n">
        <x:v>6</x:v>
      </x:c>
      <x:c r="K39" s="10" t="n">
        <x:v>4</x:v>
      </x:c>
      <x:c r="L39" s="24" t="n">
        <x:v>0.4</x:v>
      </x:c>
      <x:c r="M39" s="10" t="str">
        <x:v>Sprint 2026-06</x:v>
      </x:c>
      <x:c r="N39" s="10" t="str">
        <x:v>Kent Police Reporting\Fabric Reports</x:v>
      </x:c>
      <x:c r="O39" s="10" t="str">
        <x:v>Kent Police Reporting\Sprint 2026-06</x:v>
      </x:c>
      <x:c r="P39" s="28" t="n">
        <x:v>46188</x:v>
      </x:c>
      <x:c r="Q39" s="28" t="n">
        <x:v>46198</x:v>
      </x:c>
      <x:c r="R39" s="10" t="str">
        <x:v>DevOps Reporting Board</x:v>
      </x:c>
      <x:c r="S39" s="10" t="str">
        <x:v>Azure DevOps Work Items</x:v>
      </x:c>
      <x:c r="T39" s="10" t="str">
        <x:v>Analyst Report Workspace</x:v>
      </x:c>
      <x:c r="U39" s="10" t="str">
        <x:v>Report; Current Sprint</x:v>
      </x:c>
      <x:c r="V39" s="10" t="str">
        <x:v>Report change is reviewed, validated and ready for publishing.</x:v>
      </x:c>
      <x:c r="W39" s="10" t="str">
        <x:v>Reporting change for DevOps Reporting Board using the approved semantic model.</x:v>
      </x:c>
    </x:row>
    <x:row r="40" ht="15" hidden="0" customHeight="1">
      <x:c r="A40" s="10" t="n">
        <x:v>1039</x:v>
      </x:c>
      <x:c r="B40" s="10" t="n">
        <x:v>1038</x:v>
      </x:c>
      <x:c r="C40" s="10" t="str">
        <x:v>Task</x:v>
      </x:c>
      <x:c r="D40" s="10" t="str">
        <x:v>Create epics and features</x:v>
      </x:c>
      <x:c r="E40" s="10" t="str">
        <x:v>Closed</x:v>
      </x:c>
      <x:c r="F40" s="10" t="str">
        <x:v>Daniel Carter</x:v>
      </x:c>
      <x:c r="G40" s="10" t="str">
        <x:v>High</x:v>
      </x:c>
      <x:c r="H40" s="10" t="n">
        <x:v>0</x:v>
      </x:c>
      <x:c r="I40" s="10" t="n">
        <x:v>3</x:v>
      </x:c>
      <x:c r="J40" s="10" t="n">
        <x:v>0</x:v>
      </x:c>
      <x:c r="K40" s="10" t="n">
        <x:v>3</x:v>
      </x:c>
      <x:c r="L40" s="24" t="n">
        <x:v>1</x:v>
      </x:c>
      <x:c r="M40" s="10" t="str">
        <x:v>Sprint 2026-06</x:v>
      </x:c>
      <x:c r="N40" s="10" t="str">
        <x:v>Kent Police Reporting\Fabric Reports</x:v>
      </x:c>
      <x:c r="O40" s="10" t="str">
        <x:v>Kent Police Reporting\Sprint 2026-06</x:v>
      </x:c>
      <x:c r="P40" s="28" t="n">
        <x:v>46191</x:v>
      </x:c>
      <x:c r="Q40" s="28" t="n">
        <x:v>46198</x:v>
      </x:c>
      <x:c r="R40" s="10" t="str">
        <x:v>DevOps Reporting Board</x:v>
      </x:c>
      <x:c r="S40" s="10" t="str">
        <x:v>Azure DevOps Work Items</x:v>
      </x:c>
      <x:c r="T40" s="10" t="str">
        <x:v>Analyst Report Workspace</x:v>
      </x:c>
      <x:c r="U40" s="10" t="str">
        <x:v>Task; Report Build</x:v>
      </x:c>
      <x:c r="V40" s="10" t="str">
        <x:v>Task is completed and checked as part of the report change.</x:v>
      </x:c>
      <x:c r="W40" s="10" t="str">
        <x:v>Task linked to user story: Prepare current sprint board for reporting demo.</x:v>
      </x:c>
    </x:row>
    <x:row r="41" ht="15" hidden="0" customHeight="1">
      <x:c r="A41" s="10" t="n">
        <x:v>1040</x:v>
      </x:c>
      <x:c r="B41" s="10" t="n">
        <x:v>1038</x:v>
      </x:c>
      <x:c r="C41" s="10" t="str">
        <x:v>Task</x:v>
      </x:c>
      <x:c r="D41" s="10" t="str">
        <x:v>Create user stories</x:v>
      </x:c>
      <x:c r="E41" s="10" t="str">
        <x:v>Active</x:v>
      </x:c>
      <x:c r="F41" s="10" t="str">
        <x:v>Daniel Carter</x:v>
      </x:c>
      <x:c r="G41" s="10" t="str">
        <x:v>High</x:v>
      </x:c>
      <x:c r="H41" s="10" t="n">
        <x:v>0</x:v>
      </x:c>
      <x:c r="I41" s="10" t="n">
        <x:v>3</x:v>
      </x:c>
      <x:c r="J41" s="10" t="n">
        <x:v>2</x:v>
      </x:c>
      <x:c r="K41" s="10" t="n">
        <x:v>1</x:v>
      </x:c>
      <x:c r="L41" s="24" t="n">
        <x:v>0.33</x:v>
      </x:c>
      <x:c r="M41" s="10" t="str">
        <x:v>Sprint 2026-06</x:v>
      </x:c>
      <x:c r="N41" s="10" t="str">
        <x:v>Kent Police Reporting\Fabric Reports</x:v>
      </x:c>
      <x:c r="O41" s="10" t="str">
        <x:v>Kent Police Reporting\Sprint 2026-06</x:v>
      </x:c>
      <x:c r="P41" s="28" t="n">
        <x:v>46192</x:v>
      </x:c>
      <x:c r="Q41" s="28" t="n">
        <x:v>46198</x:v>
      </x:c>
      <x:c r="R41" s="10" t="str">
        <x:v>DevOps Reporting Board</x:v>
      </x:c>
      <x:c r="S41" s="10" t="str">
        <x:v>Azure DevOps Work Items</x:v>
      </x:c>
      <x:c r="T41" s="10" t="str">
        <x:v>Analyst Report Workspace</x:v>
      </x:c>
      <x:c r="U41" s="10" t="str">
        <x:v>Task; Report Build</x:v>
      </x:c>
      <x:c r="V41" s="10" t="str">
        <x:v>Task is completed and checked as part of the report change.</x:v>
      </x:c>
      <x:c r="W41" s="10" t="str">
        <x:v>Task linked to user story: Prepare current sprint board for reporting demo.</x:v>
      </x:c>
    </x:row>
    <x:row r="42" ht="15" hidden="0" customHeight="1">
      <x:c r="A42" s="10" t="n">
        <x:v>1041</x:v>
      </x:c>
      <x:c r="B42" s="10" t="n">
        <x:v>1038</x:v>
      </x:c>
      <x:c r="C42" s="10" t="str">
        <x:v>Task</x:v>
      </x:c>
      <x:c r="D42" s="10" t="str">
        <x:v>Add tasks and bugs</x:v>
      </x:c>
      <x:c r="E42" s="10" t="str">
        <x:v>Resolved</x:v>
      </x:c>
      <x:c r="F42" s="10" t="str">
        <x:v>Daniel Carter</x:v>
      </x:c>
      <x:c r="G42" s="10" t="str">
        <x:v>High</x:v>
      </x:c>
      <x:c r="H42" s="10" t="n">
        <x:v>0</x:v>
      </x:c>
      <x:c r="I42" s="10" t="n">
        <x:v>2</x:v>
      </x:c>
      <x:c r="J42" s="10" t="n">
        <x:v>1</x:v>
      </x:c>
      <x:c r="K42" s="10" t="n">
        <x:v>1</x:v>
      </x:c>
      <x:c r="L42" s="24" t="n">
        <x:v>0.5</x:v>
      </x:c>
      <x:c r="M42" s="10" t="str">
        <x:v>Sprint 2026-06</x:v>
      </x:c>
      <x:c r="N42" s="10" t="str">
        <x:v>Kent Police Reporting\Fabric Reports</x:v>
      </x:c>
      <x:c r="O42" s="10" t="str">
        <x:v>Kent Police Reporting\Sprint 2026-06</x:v>
      </x:c>
      <x:c r="P42" s="28" t="n">
        <x:v>46188</x:v>
      </x:c>
      <x:c r="Q42" s="28" t="n">
        <x:v>46198</x:v>
      </x:c>
      <x:c r="R42" s="10" t="str">
        <x:v>DevOps Reporting Board</x:v>
      </x:c>
      <x:c r="S42" s="10" t="str">
        <x:v>Azure DevOps Work Items</x:v>
      </x:c>
      <x:c r="T42" s="10" t="str">
        <x:v>Analyst Report Workspace</x:v>
      </x:c>
      <x:c r="U42" s="10" t="str">
        <x:v>Task; Report Build</x:v>
      </x:c>
      <x:c r="V42" s="10" t="str">
        <x:v>Task is completed and checked as part of the report change.</x:v>
      </x:c>
      <x:c r="W42" s="10" t="str">
        <x:v>Task linked to user story: Prepare current sprint board for reporting demo.</x:v>
      </x:c>
    </x:row>
    <x:row r="43" ht="26.399999618530273" hidden="0" customHeight="1">
      <x:c r="A43" s="10" t="n">
        <x:v>1042</x:v>
      </x:c>
      <x:c r="B43" s="10" t="n">
        <x:v>1005</x:v>
      </x:c>
      <x:c r="C43" s="10" t="str">
        <x:v>User Story</x:v>
      </x:c>
      <x:c r="D43" s="10" t="str">
        <x:v>Create sample burndown and status report</x:v>
      </x:c>
      <x:c r="E43" s="10" t="str">
        <x:v>Resolved</x:v>
      </x:c>
      <x:c r="F43" s="10" t="str">
        <x:v>Priya Nair</x:v>
      </x:c>
      <x:c r="G43" s="10" t="str">
        <x:v>Medium</x:v>
      </x:c>
      <x:c r="H43" s="10" t="n">
        <x:v>3</x:v>
      </x:c>
      <x:c r="I43" s="10" t="n">
        <x:v>6</x:v>
      </x:c>
      <x:c r="J43" s="10" t="n">
        <x:v>2</x:v>
      </x:c>
      <x:c r="K43" s="10" t="n">
        <x:v>4</x:v>
      </x:c>
      <x:c r="L43" s="24" t="n">
        <x:v>0.67</x:v>
      </x:c>
      <x:c r="M43" s="10" t="str">
        <x:v>Sprint 2026-06</x:v>
      </x:c>
      <x:c r="N43" s="10" t="str">
        <x:v>Kent Police Reporting\Fabric Reports</x:v>
      </x:c>
      <x:c r="O43" s="10" t="str">
        <x:v>Kent Police Reporting\Sprint 2026-06</x:v>
      </x:c>
      <x:c r="P43" s="28" t="n">
        <x:v>46189</x:v>
      </x:c>
      <x:c r="Q43" s="28" t="n">
        <x:v>46198</x:v>
      </x:c>
      <x:c r="R43" s="10" t="str">
        <x:v>Sprint Summary Report</x:v>
      </x:c>
      <x:c r="S43" s="10" t="str">
        <x:v>Azure DevOps Work Items</x:v>
      </x:c>
      <x:c r="T43" s="10" t="str">
        <x:v>Analyst Report Workspace</x:v>
      </x:c>
      <x:c r="U43" s="10" t="str">
        <x:v>Report; Current Sprint</x:v>
      </x:c>
      <x:c r="V43" s="10" t="str">
        <x:v>Report change is reviewed, validated and ready for publishing.</x:v>
      </x:c>
      <x:c r="W43" s="10" t="str">
        <x:v>Reporting change for Sprint Summary Report using the approved semantic model.</x:v>
      </x:c>
    </x:row>
    <x:row r="44" ht="15" hidden="0" customHeight="1">
      <x:c r="A44" s="10" t="n">
        <x:v>1043</x:v>
      </x:c>
      <x:c r="B44" s="10" t="n">
        <x:v>1042</x:v>
      </x:c>
      <x:c r="C44" s="10" t="str">
        <x:v>Task</x:v>
      </x:c>
      <x:c r="D44" s="10" t="str">
        <x:v>Prepare summary dataset</x:v>
      </x:c>
      <x:c r="E44" s="10" t="str">
        <x:v>Active</x:v>
      </x:c>
      <x:c r="F44" s="10" t="str">
        <x:v>Priya Nair</x:v>
      </x:c>
      <x:c r="G44" s="10" t="str">
        <x:v>Medium</x:v>
      </x:c>
      <x:c r="H44" s="10" t="n">
        <x:v>0</x:v>
      </x:c>
      <x:c r="I44" s="10" t="n">
        <x:v>3</x:v>
      </x:c>
      <x:c r="J44" s="10" t="n">
        <x:v>2</x:v>
      </x:c>
      <x:c r="K44" s="10" t="n">
        <x:v>1</x:v>
      </x:c>
      <x:c r="L44" s="24" t="n">
        <x:v>0.33</x:v>
      </x:c>
      <x:c r="M44" s="10" t="str">
        <x:v>Sprint 2026-06</x:v>
      </x:c>
      <x:c r="N44" s="10" t="str">
        <x:v>Kent Police Reporting\Fabric Reports</x:v>
      </x:c>
      <x:c r="O44" s="10" t="str">
        <x:v>Kent Police Reporting\Sprint 2026-06</x:v>
      </x:c>
      <x:c r="P44" s="28" t="n">
        <x:v>46192</x:v>
      </x:c>
      <x:c r="Q44" s="28" t="n">
        <x:v>46198</x:v>
      </x:c>
      <x:c r="R44" s="10" t="str">
        <x:v>Sprint Summary Report</x:v>
      </x:c>
      <x:c r="S44" s="10" t="str">
        <x:v>Azure DevOps Work Items</x:v>
      </x:c>
      <x:c r="T44" s="10" t="str">
        <x:v>Analyst Report Workspace</x:v>
      </x:c>
      <x:c r="U44" s="10" t="str">
        <x:v>Task; Report Build</x:v>
      </x:c>
      <x:c r="V44" s="10" t="str">
        <x:v>Task is completed and checked as part of the report change.</x:v>
      </x:c>
      <x:c r="W44" s="10" t="str">
        <x:v>Task linked to user story: Create sample burndown and status report.</x:v>
      </x:c>
    </x:row>
    <x:row r="45" ht="15" hidden="0" customHeight="1">
      <x:c r="A45" s="10" t="n">
        <x:v>1044</x:v>
      </x:c>
      <x:c r="B45" s="10" t="n">
        <x:v>1042</x:v>
      </x:c>
      <x:c r="C45" s="10" t="str">
        <x:v>Task</x:v>
      </x:c>
      <x:c r="D45" s="10" t="str">
        <x:v>Create status measures</x:v>
      </x:c>
      <x:c r="E45" s="10" t="str">
        <x:v>Resolved</x:v>
      </x:c>
      <x:c r="F45" s="10" t="str">
        <x:v>Priya Nair</x:v>
      </x:c>
      <x:c r="G45" s="10" t="str">
        <x:v>Medium</x:v>
      </x:c>
      <x:c r="H45" s="10" t="n">
        <x:v>0</x:v>
      </x:c>
      <x:c r="I45" s="10" t="n">
        <x:v>3</x:v>
      </x:c>
      <x:c r="J45" s="10" t="n">
        <x:v>1</x:v>
      </x:c>
      <x:c r="K45" s="10" t="n">
        <x:v>2</x:v>
      </x:c>
      <x:c r="L45" s="24" t="n">
        <x:v>0.67</x:v>
      </x:c>
      <x:c r="M45" s="10" t="str">
        <x:v>Sprint 2026-06</x:v>
      </x:c>
      <x:c r="N45" s="10" t="str">
        <x:v>Kent Police Reporting\Fabric Reports</x:v>
      </x:c>
      <x:c r="O45" s="10" t="str">
        <x:v>Kent Police Reporting\Sprint 2026-06</x:v>
      </x:c>
      <x:c r="P45" s="28" t="n">
        <x:v>46188</x:v>
      </x:c>
      <x:c r="Q45" s="28" t="n">
        <x:v>46198</x:v>
      </x:c>
      <x:c r="R45" s="10" t="str">
        <x:v>Sprint Summary Report</x:v>
      </x:c>
      <x:c r="S45" s="10" t="str">
        <x:v>Azure DevOps Work Items</x:v>
      </x:c>
      <x:c r="T45" s="10" t="str">
        <x:v>Analyst Report Workspace</x:v>
      </x:c>
      <x:c r="U45" s="10" t="str">
        <x:v>Task; Report Build</x:v>
      </x:c>
      <x:c r="V45" s="10" t="str">
        <x:v>Task is completed and checked as part of the report change.</x:v>
      </x:c>
      <x:c r="W45" s="10" t="str">
        <x:v>Task linked to user story: Create sample burndown and status report.</x:v>
      </x:c>
    </x:row>
    <x:row r="46" ht="15" hidden="0" customHeight="1">
      <x:c r="A46" s="10" t="n">
        <x:v>1045</x:v>
      </x:c>
      <x:c r="B46" s="10" t="n">
        <x:v>1042</x:v>
      </x:c>
      <x:c r="C46" s="10" t="str">
        <x:v>Task</x:v>
      </x:c>
      <x:c r="D46" s="10" t="str">
        <x:v>Build sample visuals</x:v>
      </x:c>
      <x:c r="E46" s="10" t="str">
        <x:v>New</x:v>
      </x:c>
      <x:c r="F46" s="10" t="str">
        <x:v>Priya Nair</x:v>
      </x:c>
      <x:c r="G46" s="10" t="str">
        <x:v>Medium</x:v>
      </x:c>
      <x:c r="H46" s="10" t="n">
        <x:v>0</x:v>
      </x:c>
      <x:c r="I46" s="10" t="n">
        <x:v>2</x:v>
      </x:c>
      <x:c r="J46" s="10" t="n">
        <x:v>2</x:v>
      </x:c>
      <x:c r="K46" s="10" t="n">
        <x:v>0</x:v>
      </x:c>
      <x:c r="L46" s="24" t="n">
        <x:v>0</x:v>
      </x:c>
      <x:c r="M46" s="10" t="str">
        <x:v>Sprint 2026-06</x:v>
      </x:c>
      <x:c r="N46" s="10" t="str">
        <x:v>Kent Police Reporting\Fabric Reports</x:v>
      </x:c>
      <x:c r="O46" s="10" t="str">
        <x:v>Kent Police Reporting\Sprint 2026-06</x:v>
      </x:c>
      <x:c r="P46" s="28" t="n">
        <x:v>46189</x:v>
      </x:c>
      <x:c r="Q46" s="28" t="n">
        <x:v>46198</x:v>
      </x:c>
      <x:c r="R46" s="10" t="str">
        <x:v>Sprint Summary Report</x:v>
      </x:c>
      <x:c r="S46" s="10" t="str">
        <x:v>Azure DevOps Work Items</x:v>
      </x:c>
      <x:c r="T46" s="10" t="str">
        <x:v>Analyst Report Workspace</x:v>
      </x:c>
      <x:c r="U46" s="10" t="str">
        <x:v>Task; Report Build</x:v>
      </x:c>
      <x:c r="V46" s="10" t="str">
        <x:v>Task is completed and checked as part of the report change.</x:v>
      </x:c>
      <x:c r="W46" s="10" t="str">
        <x:v>Task linked to user story: Create sample burndown and status report.</x:v>
      </x:c>
    </x:row>
    <x:row r="47" ht="26.399999618530273" hidden="0" customHeight="1">
      <x:c r="A47" s="10" t="n">
        <x:v>1046</x:v>
      </x:c>
      <x:c r="B47" s="10" t="n">
        <x:v>1005</x:v>
      </x:c>
      <x:c r="C47" s="10" t="str">
        <x:v>User Story</x:v>
      </x:c>
      <x:c r="D47" s="10" t="str">
        <x:v>Create report readiness view</x:v>
      </x:c>
      <x:c r="E47" s="10" t="str">
        <x:v>Closed</x:v>
      </x:c>
      <x:c r="F47" s="10" t="str">
        <x:v>Tom Hughes</x:v>
      </x:c>
      <x:c r="G47" s="10" t="str">
        <x:v>Medium</x:v>
      </x:c>
      <x:c r="H47" s="10" t="n">
        <x:v>3</x:v>
      </x:c>
      <x:c r="I47" s="10" t="n">
        <x:v>6</x:v>
      </x:c>
      <x:c r="J47" s="10" t="n">
        <x:v>0</x:v>
      </x:c>
      <x:c r="K47" s="10" t="n">
        <x:v>6</x:v>
      </x:c>
      <x:c r="L47" s="24" t="n">
        <x:v>1</x:v>
      </x:c>
      <x:c r="M47" s="10" t="str">
        <x:v>Sprint 2026-06</x:v>
      </x:c>
      <x:c r="N47" s="10" t="str">
        <x:v>Kent Police Reporting\Fabric Reports</x:v>
      </x:c>
      <x:c r="O47" s="10" t="str">
        <x:v>Kent Police Reporting\Sprint 2026-06</x:v>
      </x:c>
      <x:c r="P47" s="28" t="n">
        <x:v>46190</x:v>
      </x:c>
      <x:c r="Q47" s="28" t="n">
        <x:v>46198</x:v>
      </x:c>
      <x:c r="R47" s="10" t="str">
        <x:v>Report Readiness Dashboard</x:v>
      </x:c>
      <x:c r="S47" s="10" t="str">
        <x:v>Azure DevOps Work Items</x:v>
      </x:c>
      <x:c r="T47" s="10" t="str">
        <x:v>Analyst Report Workspace</x:v>
      </x:c>
      <x:c r="U47" s="10" t="str">
        <x:v>Report; Current Sprint</x:v>
      </x:c>
      <x:c r="V47" s="10" t="str">
        <x:v>Report change is reviewed, validated and ready for publishing.</x:v>
      </x:c>
      <x:c r="W47" s="10" t="str">
        <x:v>Reporting change for Report Readiness Dashboard using the approved semantic model.</x:v>
      </x:c>
    </x:row>
    <x:row r="48" ht="15" hidden="0" customHeight="1">
      <x:c r="A48" s="10" t="n">
        <x:v>1047</x:v>
      </x:c>
      <x:c r="B48" s="10" t="n">
        <x:v>1046</x:v>
      </x:c>
      <x:c r="C48" s="10" t="str">
        <x:v>Task</x:v>
      </x:c>
      <x:c r="D48" s="10" t="str">
        <x:v>Add status grouping</x:v>
      </x:c>
      <x:c r="E48" s="10" t="str">
        <x:v>Resolved</x:v>
      </x:c>
      <x:c r="F48" s="10" t="str">
        <x:v>Tom Hughes</x:v>
      </x:c>
      <x:c r="G48" s="10" t="str">
        <x:v>Medium</x:v>
      </x:c>
      <x:c r="H48" s="10" t="n">
        <x:v>0</x:v>
      </x:c>
      <x:c r="I48" s="10" t="n">
        <x:v>3</x:v>
      </x:c>
      <x:c r="J48" s="10" t="n">
        <x:v>1</x:v>
      </x:c>
      <x:c r="K48" s="10" t="n">
        <x:v>2</x:v>
      </x:c>
      <x:c r="L48" s="24" t="n">
        <x:v>0.67</x:v>
      </x:c>
      <x:c r="M48" s="10" t="str">
        <x:v>Sprint 2026-06</x:v>
      </x:c>
      <x:c r="N48" s="10" t="str">
        <x:v>Kent Police Reporting\Fabric Reports</x:v>
      </x:c>
      <x:c r="O48" s="10" t="str">
        <x:v>Kent Police Reporting\Sprint 2026-06</x:v>
      </x:c>
      <x:c r="P48" s="28" t="n">
        <x:v>46188</x:v>
      </x:c>
      <x:c r="Q48" s="28" t="n">
        <x:v>46198</x:v>
      </x:c>
      <x:c r="R48" s="10" t="str">
        <x:v>Report Readiness Dashboard</x:v>
      </x:c>
      <x:c r="S48" s="10" t="str">
        <x:v>Azure DevOps Work Items</x:v>
      </x:c>
      <x:c r="T48" s="10" t="str">
        <x:v>Analyst Report Workspace</x:v>
      </x:c>
      <x:c r="U48" s="10" t="str">
        <x:v>Task; Report Build</x:v>
      </x:c>
      <x:c r="V48" s="10" t="str">
        <x:v>Task is completed and checked as part of the report change.</x:v>
      </x:c>
      <x:c r="W48" s="10" t="str">
        <x:v>Task linked to user story: Create report readiness view.</x:v>
      </x:c>
    </x:row>
    <x:row r="49" ht="15" hidden="0" customHeight="1">
      <x:c r="A49" s="10" t="n">
        <x:v>1048</x:v>
      </x:c>
      <x:c r="B49" s="10" t="n">
        <x:v>1046</x:v>
      </x:c>
      <x:c r="C49" s="10" t="str">
        <x:v>Task</x:v>
      </x:c>
      <x:c r="D49" s="10" t="str">
        <x:v>Add owner summary</x:v>
      </x:c>
      <x:c r="E49" s="10" t="str">
        <x:v>New</x:v>
      </x:c>
      <x:c r="F49" s="10" t="str">
        <x:v>Tom Hughes</x:v>
      </x:c>
      <x:c r="G49" s="10" t="str">
        <x:v>Medium</x:v>
      </x:c>
      <x:c r="H49" s="10" t="n">
        <x:v>0</x:v>
      </x:c>
      <x:c r="I49" s="10" t="n">
        <x:v>3</x:v>
      </x:c>
      <x:c r="J49" s="10" t="n">
        <x:v>3</x:v>
      </x:c>
      <x:c r="K49" s="10" t="n">
        <x:v>0</x:v>
      </x:c>
      <x:c r="L49" s="24" t="n">
        <x:v>0</x:v>
      </x:c>
      <x:c r="M49" s="10" t="str">
        <x:v>Sprint 2026-06</x:v>
      </x:c>
      <x:c r="N49" s="10" t="str">
        <x:v>Kent Police Reporting\Fabric Reports</x:v>
      </x:c>
      <x:c r="O49" s="10" t="str">
        <x:v>Kent Police Reporting\Sprint 2026-06</x:v>
      </x:c>
      <x:c r="P49" s="28" t="n">
        <x:v>46189</x:v>
      </x:c>
      <x:c r="Q49" s="28" t="n">
        <x:v>46198</x:v>
      </x:c>
      <x:c r="R49" s="10" t="str">
        <x:v>Report Readiness Dashboard</x:v>
      </x:c>
      <x:c r="S49" s="10" t="str">
        <x:v>Azure DevOps Work Items</x:v>
      </x:c>
      <x:c r="T49" s="10" t="str">
        <x:v>Analyst Report Workspace</x:v>
      </x:c>
      <x:c r="U49" s="10" t="str">
        <x:v>Task; Report Build</x:v>
      </x:c>
      <x:c r="V49" s="10" t="str">
        <x:v>Task is completed and checked as part of the report change.</x:v>
      </x:c>
      <x:c r="W49" s="10" t="str">
        <x:v>Task linked to user story: Create report readiness view.</x:v>
      </x:c>
    </x:row>
    <x:row r="50" ht="15" hidden="0" customHeight="1">
      <x:c r="A50" s="10" t="n">
        <x:v>1049</x:v>
      </x:c>
      <x:c r="B50" s="10" t="n">
        <x:v>1046</x:v>
      </x:c>
      <x:c r="C50" s="10" t="str">
        <x:v>Task</x:v>
      </x:c>
      <x:c r="D50" s="10" t="str">
        <x:v>Add priority summary</x:v>
      </x:c>
      <x:c r="E50" s="10" t="str">
        <x:v>Closed</x:v>
      </x:c>
      <x:c r="F50" s="10" t="str">
        <x:v>Tom Hughes</x:v>
      </x:c>
      <x:c r="G50" s="10" t="str">
        <x:v>Medium</x:v>
      </x:c>
      <x:c r="H50" s="10" t="n">
        <x:v>0</x:v>
      </x:c>
      <x:c r="I50" s="10" t="n">
        <x:v>2</x:v>
      </x:c>
      <x:c r="J50" s="10" t="n">
        <x:v>0</x:v>
      </x:c>
      <x:c r="K50" s="10" t="n">
        <x:v>2</x:v>
      </x:c>
      <x:c r="L50" s="24" t="n">
        <x:v>1</x:v>
      </x:c>
      <x:c r="M50" s="10" t="str">
        <x:v>Sprint 2026-06</x:v>
      </x:c>
      <x:c r="N50" s="10" t="str">
        <x:v>Kent Police Reporting\Fabric Reports</x:v>
      </x:c>
      <x:c r="O50" s="10" t="str">
        <x:v>Kent Police Reporting\Sprint 2026-06</x:v>
      </x:c>
      <x:c r="P50" s="28" t="n">
        <x:v>46190</x:v>
      </x:c>
      <x:c r="Q50" s="28" t="n">
        <x:v>46198</x:v>
      </x:c>
      <x:c r="R50" s="10" t="str">
        <x:v>Report Readiness Dashboard</x:v>
      </x:c>
      <x:c r="S50" s="10" t="str">
        <x:v>Azure DevOps Work Items</x:v>
      </x:c>
      <x:c r="T50" s="10" t="str">
        <x:v>Analyst Report Workspace</x:v>
      </x:c>
      <x:c r="U50" s="10" t="str">
        <x:v>Task; Report Build</x:v>
      </x:c>
      <x:c r="V50" s="10" t="str">
        <x:v>Task is completed and checked as part of the report change.</x:v>
      </x:c>
      <x:c r="W50" s="10" t="str">
        <x:v>Task linked to user story: Create report readiness view.</x:v>
      </x:c>
    </x:row>
    <x:row r="51" ht="15" hidden="0" customHeight="1">
      <x:c r="A51" s="10" t="n">
        <x:v>1050</x:v>
      </x:c>
      <x:c r="B51" s="10" t="n">
        <x:v>1003</x:v>
      </x:c>
      <x:c r="C51" s="10" t="str">
        <x:v>User Story</x:v>
      </x:c>
      <x:c r="D51" s="10" t="str">
        <x:v>Review published report access wording</x:v>
      </x:c>
      <x:c r="E51" s="10" t="str">
        <x:v>New</x:v>
      </x:c>
      <x:c r="F51" s="10" t="str">
        <x:v>Sarah Patel</x:v>
      </x:c>
      <x:c r="G51" s="10" t="str">
        <x:v>Low</x:v>
      </x:c>
      <x:c r="H51" s="10" t="n">
        <x:v>2</x:v>
      </x:c>
      <x:c r="I51" s="10" t="n">
        <x:v>4</x:v>
      </x:c>
      <x:c r="J51" s="10" t="n">
        <x:v>4</x:v>
      </x:c>
      <x:c r="K51" s="10" t="n">
        <x:v>0</x:v>
      </x:c>
      <x:c r="L51" s="24" t="n">
        <x:v>0</x:v>
      </x:c>
      <x:c r="M51" s="10" t="str">
        <x:v>Sprint 2026-06</x:v>
      </x:c>
      <x:c r="N51" s="10" t="str">
        <x:v>Kent Police Reporting\Fabric Reports</x:v>
      </x:c>
      <x:c r="O51" s="10" t="str">
        <x:v>Kent Police Reporting\Sprint 2026-06</x:v>
      </x:c>
      <x:c r="P51" s="28" t="n">
        <x:v>46191</x:v>
      </x:c>
      <x:c r="Q51" s="28" t="n">
        <x:v>46198</x:v>
      </x:c>
      <x:c r="R51" s="10" t="str">
        <x:v>Reporting App</x:v>
      </x:c>
      <x:c r="S51" s="10" t="str">
        <x:v>PROD - Approved Semantic Models</x:v>
      </x:c>
      <x:c r="T51" s="10" t="str">
        <x:v>Analyst Report Workspace</x:v>
      </x:c>
      <x:c r="U51" s="10" t="str">
        <x:v>Report; Current Sprint</x:v>
      </x:c>
      <x:c r="V51" s="10" t="str">
        <x:v>Report change is reviewed, validated and ready for publishing.</x:v>
      </x:c>
      <x:c r="W51" s="10" t="str">
        <x:v>Reporting change for Reporting App using the approved semantic model.</x:v>
      </x:c>
    </x:row>
    <x:row r="52" ht="15" hidden="0" customHeight="1">
      <x:c r="A52" s="10" t="n">
        <x:v>1051</x:v>
      </x:c>
      <x:c r="B52" s="10" t="n">
        <x:v>1050</x:v>
      </x:c>
      <x:c r="C52" s="10" t="str">
        <x:v>Task</x:v>
      </x:c>
      <x:c r="D52" s="10" t="str">
        <x:v>Check report descriptions</x:v>
      </x:c>
      <x:c r="E52" s="10" t="str">
        <x:v>New</x:v>
      </x:c>
      <x:c r="F52" s="10" t="str">
        <x:v>Sarah Patel</x:v>
      </x:c>
      <x:c r="G52" s="10" t="str">
        <x:v>Low</x:v>
      </x:c>
      <x:c r="H52" s="10" t="n">
        <x:v>0</x:v>
      </x:c>
      <x:c r="I52" s="10" t="n">
        <x:v>3</x:v>
      </x:c>
      <x:c r="J52" s="10" t="n">
        <x:v>3</x:v>
      </x:c>
      <x:c r="K52" s="10" t="n">
        <x:v>0</x:v>
      </x:c>
      <x:c r="L52" s="24" t="n">
        <x:v>0</x:v>
      </x:c>
      <x:c r="M52" s="10" t="str">
        <x:v>Sprint 2026-06</x:v>
      </x:c>
      <x:c r="N52" s="10" t="str">
        <x:v>Kent Police Reporting\Fabric Reports</x:v>
      </x:c>
      <x:c r="O52" s="10" t="str">
        <x:v>Kent Police Reporting\Sprint 2026-06</x:v>
      </x:c>
      <x:c r="P52" s="28" t="n">
        <x:v>46189</x:v>
      </x:c>
      <x:c r="Q52" s="28" t="n">
        <x:v>46198</x:v>
      </x:c>
      <x:c r="R52" s="10" t="str">
        <x:v>Reporting App</x:v>
      </x:c>
      <x:c r="S52" s="10" t="str">
        <x:v>PROD - Approved Semantic Models</x:v>
      </x:c>
      <x:c r="T52" s="10" t="str">
        <x:v>Analyst Report Workspace</x:v>
      </x:c>
      <x:c r="U52" s="10" t="str">
        <x:v>Task; Report Build</x:v>
      </x:c>
      <x:c r="V52" s="10" t="str">
        <x:v>Task is completed and checked as part of the report change.</x:v>
      </x:c>
      <x:c r="W52" s="10" t="str">
        <x:v>Task linked to user story: Review published report access wording.</x:v>
      </x:c>
    </x:row>
    <x:row r="53" ht="15" hidden="0" customHeight="1">
      <x:c r="A53" s="10" t="n">
        <x:v>1052</x:v>
      </x:c>
      <x:c r="B53" s="10" t="n">
        <x:v>1050</x:v>
      </x:c>
      <x:c r="C53" s="10" t="str">
        <x:v>Task</x:v>
      </x:c>
      <x:c r="D53" s="10" t="str">
        <x:v>Confirm navigation wording</x:v>
      </x:c>
      <x:c r="E53" s="10" t="str">
        <x:v>Closed</x:v>
      </x:c>
      <x:c r="F53" s="10" t="str">
        <x:v>Sarah Patel</x:v>
      </x:c>
      <x:c r="G53" s="10" t="str">
        <x:v>Low</x:v>
      </x:c>
      <x:c r="H53" s="10" t="n">
        <x:v>0</x:v>
      </x:c>
      <x:c r="I53" s="10" t="n">
        <x:v>3</x:v>
      </x:c>
      <x:c r="J53" s="10" t="n">
        <x:v>0</x:v>
      </x:c>
      <x:c r="K53" s="10" t="n">
        <x:v>3</x:v>
      </x:c>
      <x:c r="L53" s="24" t="n">
        <x:v>1</x:v>
      </x:c>
      <x:c r="M53" s="10" t="str">
        <x:v>Sprint 2026-06</x:v>
      </x:c>
      <x:c r="N53" s="10" t="str">
        <x:v>Kent Police Reporting\Fabric Reports</x:v>
      </x:c>
      <x:c r="O53" s="10" t="str">
        <x:v>Kent Police Reporting\Sprint 2026-06</x:v>
      </x:c>
      <x:c r="P53" s="28" t="n">
        <x:v>46190</x:v>
      </x:c>
      <x:c r="Q53" s="28" t="n">
        <x:v>46198</x:v>
      </x:c>
      <x:c r="R53" s="10" t="str">
        <x:v>Reporting App</x:v>
      </x:c>
      <x:c r="S53" s="10" t="str">
        <x:v>PROD - Approved Semantic Models</x:v>
      </x:c>
      <x:c r="T53" s="10" t="str">
        <x:v>Analyst Report Workspace</x:v>
      </x:c>
      <x:c r="U53" s="10" t="str">
        <x:v>Task; Report Build</x:v>
      </x:c>
      <x:c r="V53" s="10" t="str">
        <x:v>Task is completed and checked as part of the report change.</x:v>
      </x:c>
      <x:c r="W53" s="10" t="str">
        <x:v>Task linked to user story: Review published report access wording.</x:v>
      </x:c>
    </x:row>
    <x:row r="54" ht="15" hidden="0" customHeight="1">
      <x:c r="A54" s="10" t="n">
        <x:v>1053</x:v>
      </x:c>
      <x:c r="B54" s="10" t="n">
        <x:v>1050</x:v>
      </x:c>
      <x:c r="C54" s="10" t="str">
        <x:v>Task</x:v>
      </x:c>
      <x:c r="D54" s="10" t="str">
        <x:v>Update notes where needed</x:v>
      </x:c>
      <x:c r="E54" s="10" t="str">
        <x:v>Active</x:v>
      </x:c>
      <x:c r="F54" s="10" t="str">
        <x:v>Sarah Patel</x:v>
      </x:c>
      <x:c r="G54" s="10" t="str">
        <x:v>Low</x:v>
      </x:c>
      <x:c r="H54" s="10" t="n">
        <x:v>0</x:v>
      </x:c>
      <x:c r="I54" s="10" t="n">
        <x:v>2</x:v>
      </x:c>
      <x:c r="J54" s="10" t="n">
        <x:v>1</x:v>
      </x:c>
      <x:c r="K54" s="10" t="n">
        <x:v>1</x:v>
      </x:c>
      <x:c r="L54" s="24" t="n">
        <x:v>0.5</x:v>
      </x:c>
      <x:c r="M54" s="10" t="str">
        <x:v>Sprint 2026-06</x:v>
      </x:c>
      <x:c r="N54" s="10" t="str">
        <x:v>Kent Police Reporting\Fabric Reports</x:v>
      </x:c>
      <x:c r="O54" s="10" t="str">
        <x:v>Kent Police Reporting\Sprint 2026-06</x:v>
      </x:c>
      <x:c r="P54" s="28" t="n">
        <x:v>46191</x:v>
      </x:c>
      <x:c r="Q54" s="28" t="n">
        <x:v>46198</x:v>
      </x:c>
      <x:c r="R54" s="10" t="str">
        <x:v>Reporting App</x:v>
      </x:c>
      <x:c r="S54" s="10" t="str">
        <x:v>PROD - Approved Semantic Models</x:v>
      </x:c>
      <x:c r="T54" s="10" t="str">
        <x:v>Analyst Report Workspace</x:v>
      </x:c>
      <x:c r="U54" s="10" t="str">
        <x:v>Task; Report Build</x:v>
      </x:c>
      <x:c r="V54" s="10" t="str">
        <x:v>Task is completed and checked as part of the report change.</x:v>
      </x:c>
      <x:c r="W54" s="10" t="str">
        <x:v>Task linked to user story: Review published report access wording.</x:v>
      </x:c>
    </x:row>
    <x:row r="55" ht="26.399999618530273" hidden="0" customHeight="1">
      <x:c r="A55" s="10" t="n">
        <x:v>1054</x:v>
      </x:c>
      <x:c r="B55" s="10" t="n">
        <x:v>1002</x:v>
      </x:c>
      <x:c r="C55" s="10" t="str">
        <x:v>Bug</x:v>
      </x:c>
      <x:c r="D55" s="10" t="str">
        <x:v>Incident trend total does not match summary card</x:v>
      </x:c>
      <x:c r="E55" s="10" t="str">
        <x:v>Active</x:v>
      </x:c>
      <x:c r="F55" s="10" t="str">
        <x:v>Amelia Brown</x:v>
      </x:c>
      <x:c r="G55" s="10" t="str">
        <x:v>High</x:v>
      </x:c>
      <x:c r="H55" s="10" t="n">
        <x:v>0</x:v>
      </x:c>
      <x:c r="I55" s="10" t="n">
        <x:v>2</x:v>
      </x:c>
      <x:c r="J55" s="10" t="n">
        <x:v>1.5</x:v>
      </x:c>
      <x:c r="K55" s="10" t="n">
        <x:v>0.5</x:v>
      </x:c>
      <x:c r="L55" s="24" t="n">
        <x:v>0.25</x:v>
      </x:c>
      <x:c r="M55" s="10" t="str">
        <x:v>Sprint 2026-06</x:v>
      </x:c>
      <x:c r="N55" s="10" t="str">
        <x:v>Kent Police Reporting\Fabric Reports</x:v>
      </x:c>
      <x:c r="O55" s="10" t="str">
        <x:v>Kent Police Reporting\Sprint 2026-06</x:v>
      </x:c>
      <x:c r="P55" s="28" t="n">
        <x:v>46188</x:v>
      </x:c>
      <x:c r="Q55" s="28" t="n">
        <x:v>46198</x:v>
      </x:c>
      <x:c r="R55" s="10" t="str">
        <x:v>Monthly Incident Performance Report</x:v>
      </x:c>
      <x:c r="S55" s="10" t="str">
        <x:v>PROD - Incident Reporting Semantic Model</x:v>
      </x:c>
      <x:c r="T55" s="10" t="str">
        <x:v>Analyst Report Workspace</x:v>
      </x:c>
      <x:c r="U55" s="10" t="str">
        <x:v>Bug; Current Sprint</x:v>
      </x:c>
      <x:c r="V55" s="10" t="str">
        <x:v>Issue is reviewed, corrected and validated before publishing.</x:v>
      </x:c>
      <x:c r="W55" s="10" t="str">
        <x:v>Sample bug raised during report review for Monthly Incident Performance Report.</x:v>
      </x:c>
    </x:row>
    <x:row r="56" ht="15" hidden="0" customHeight="1">
      <x:c r="A56" s="10" t="n">
        <x:v>1055</x:v>
      </x:c>
      <x:c r="B56" s="10" t="n">
        <x:v>1002</x:v>
      </x:c>
      <x:c r="C56" s="10" t="str">
        <x:v>Bug</x:v>
      </x:c>
      <x:c r="D56" s="10" t="str">
        <x:v>Officer availability slicer not clearing correctly</x:v>
      </x:c>
      <x:c r="E56" s="10" t="str">
        <x:v>Resolved</x:v>
      </x:c>
      <x:c r="F56" s="10" t="str">
        <x:v>Daniel Carter</x:v>
      </x:c>
      <x:c r="G56" s="10" t="str">
        <x:v>Medium</x:v>
      </x:c>
      <x:c r="H56" s="10" t="n">
        <x:v>0</x:v>
      </x:c>
      <x:c r="I56" s="10" t="n">
        <x:v>2</x:v>
      </x:c>
      <x:c r="J56" s="10" t="n">
        <x:v>1</x:v>
      </x:c>
      <x:c r="K56" s="10" t="n">
        <x:v>1</x:v>
      </x:c>
      <x:c r="L56" s="24" t="n">
        <x:v>0.5</x:v>
      </x:c>
      <x:c r="M56" s="10" t="str">
        <x:v>Sprint 2026-06</x:v>
      </x:c>
      <x:c r="N56" s="10" t="str">
        <x:v>Kent Police Reporting\Fabric Reports</x:v>
      </x:c>
      <x:c r="O56" s="10" t="str">
        <x:v>Kent Police Reporting\Sprint 2026-06</x:v>
      </x:c>
      <x:c r="P56" s="28" t="n">
        <x:v>46189</x:v>
      </x:c>
      <x:c r="Q56" s="28" t="n">
        <x:v>46198</x:v>
      </x:c>
      <x:c r="R56" s="10" t="str">
        <x:v>Officer Availability Dashboard</x:v>
      </x:c>
      <x:c r="S56" s="10" t="str">
        <x:v>PROD - Workforce Semantic Model</x:v>
      </x:c>
      <x:c r="T56" s="10" t="str">
        <x:v>Analyst Report Workspace</x:v>
      </x:c>
      <x:c r="U56" s="10" t="str">
        <x:v>Bug; Current Sprint</x:v>
      </x:c>
      <x:c r="V56" s="10" t="str">
        <x:v>Issue is reviewed, corrected and validated before publishing.</x:v>
      </x:c>
      <x:c r="W56" s="10" t="str">
        <x:v>Sample bug raised during report review for Officer Availability Dashboard.</x:v>
      </x:c>
    </x:row>
    <x:row r="57" ht="15" hidden="0" customHeight="1">
      <x:c r="A57" s="10" t="n">
        <x:v>1056</x:v>
      </x:c>
      <x:c r="B57" s="10" t="n">
        <x:v>1002</x:v>
      </x:c>
      <x:c r="C57" s="10" t="str">
        <x:v>Bug</x:v>
      </x:c>
      <x:c r="D57" s="10" t="str">
        <x:v>Custody dashboard page title needs correction</x:v>
      </x:c>
      <x:c r="E57" s="10" t="str">
        <x:v>Closed</x:v>
      </x:c>
      <x:c r="F57" s="10" t="str">
        <x:v>Priya Nair</x:v>
      </x:c>
      <x:c r="G57" s="10" t="str">
        <x:v>Low</x:v>
      </x:c>
      <x:c r="H57" s="10" t="n">
        <x:v>0</x:v>
      </x:c>
      <x:c r="I57" s="10" t="n">
        <x:v>2</x:v>
      </x:c>
      <x:c r="J57" s="10" t="n">
        <x:v>0</x:v>
      </x:c>
      <x:c r="K57" s="10" t="n">
        <x:v>2</x:v>
      </x:c>
      <x:c r="L57" s="24" t="n">
        <x:v>1</x:v>
      </x:c>
      <x:c r="M57" s="10" t="str">
        <x:v>Sprint 2026-06</x:v>
      </x:c>
      <x:c r="N57" s="10" t="str">
        <x:v>Kent Police Reporting\Fabric Reports</x:v>
      </x:c>
      <x:c r="O57" s="10" t="str">
        <x:v>Kent Police Reporting\Sprint 2026-06</x:v>
      </x:c>
      <x:c r="P57" s="28" t="n">
        <x:v>46190</x:v>
      </x:c>
      <x:c r="Q57" s="28" t="n">
        <x:v>46198</x:v>
      </x:c>
      <x:c r="R57" s="10" t="str">
        <x:v>Custody Performance Dashboard</x:v>
      </x:c>
      <x:c r="S57" s="10" t="str">
        <x:v>PROD - Custody Reporting Semantic Model</x:v>
      </x:c>
      <x:c r="T57" s="10" t="str">
        <x:v>Analyst Report Workspace</x:v>
      </x:c>
      <x:c r="U57" s="10" t="str">
        <x:v>Bug; Current Sprint</x:v>
      </x:c>
      <x:c r="V57" s="10" t="str">
        <x:v>Issue is reviewed, corrected and validated before publishing.</x:v>
      </x:c>
      <x:c r="W57" s="10" t="str">
        <x:v>Sample bug raised during report review for Custody Performance Dashboard.</x:v>
      </x:c>
    </x:row>
    <x:row r="58" ht="15" hidden="0" customHeight="1">
      <x:c r="A58" s="10" t="n">
        <x:v>1057</x:v>
      </x:c>
      <x:c r="B58" s="10" t="n">
        <x:v>1002</x:v>
      </x:c>
      <x:c r="C58" s="10" t="str">
        <x:v>Bug</x:v>
      </x:c>
      <x:c r="D58" s="10" t="str">
        <x:v>Victim services visual label overlaps on small screen</x:v>
      </x:c>
      <x:c r="E58" s="10" t="str">
        <x:v>New</x:v>
      </x:c>
      <x:c r="F58" s="10" t="str">
        <x:v>Tom Hughes</x:v>
      </x:c>
      <x:c r="G58" s="10" t="str">
        <x:v>Medium</x:v>
      </x:c>
      <x:c r="H58" s="10" t="n">
        <x:v>0</x:v>
      </x:c>
      <x:c r="I58" s="10" t="n">
        <x:v>2</x:v>
      </x:c>
      <x:c r="J58" s="10" t="n">
        <x:v>2</x:v>
      </x:c>
      <x:c r="K58" s="10" t="n">
        <x:v>0</x:v>
      </x:c>
      <x:c r="L58" s="24" t="n">
        <x:v>0</x:v>
      </x:c>
      <x:c r="M58" s="10" t="str">
        <x:v>Sprint 2026-06</x:v>
      </x:c>
      <x:c r="N58" s="10" t="str">
        <x:v>Kent Police Reporting\Fabric Reports</x:v>
      </x:c>
      <x:c r="O58" s="10" t="str">
        <x:v>Kent Police Reporting\Sprint 2026-06</x:v>
      </x:c>
      <x:c r="P58" s="28" t="n">
        <x:v>46191</x:v>
      </x:c>
      <x:c r="Q58" s="28" t="n">
        <x:v>46198</x:v>
      </x:c>
      <x:c r="R58" s="10" t="str">
        <x:v>Victim Services Overview</x:v>
      </x:c>
      <x:c r="S58" s="10" t="str">
        <x:v>PROD - Victim Services Semantic Model</x:v>
      </x:c>
      <x:c r="T58" s="10" t="str">
        <x:v>Analyst Report Workspace</x:v>
      </x:c>
      <x:c r="U58" s="10" t="str">
        <x:v>Bug; Current Sprint</x:v>
      </x:c>
      <x:c r="V58" s="10" t="str">
        <x:v>Issue is reviewed, corrected and validated before publishing.</x:v>
      </x:c>
      <x:c r="W58" s="10" t="str">
        <x:v>Sample bug raised during report review for Victim Services Overview.</x:v>
      </x:c>
    </x:row>
    <x:row r="59" ht="15" hidden="0" customHeight="1">
      <x:c r="A59" s="10" t="n">
        <x:v>1058</x:v>
      </x:c>
      <x:c r="B59" s="10" t="n">
        <x:v>1002</x:v>
      </x:c>
      <x:c r="C59" s="10" t="str">
        <x:v>Bug</x:v>
      </x:c>
      <x:c r="D59" s="10" t="str">
        <x:v>Stop and search monthly filter showing blank value</x:v>
      </x:c>
      <x:c r="E59" s="10" t="str">
        <x:v>Active</x:v>
      </x:c>
      <x:c r="F59" s="10" t="str">
        <x:v>Sarah Patel</x:v>
      </x:c>
      <x:c r="G59" s="10" t="str">
        <x:v>Medium</x:v>
      </x:c>
      <x:c r="H59" s="10" t="n">
        <x:v>0</x:v>
      </x:c>
      <x:c r="I59" s="10" t="n">
        <x:v>2</x:v>
      </x:c>
      <x:c r="J59" s="10" t="n">
        <x:v>1.5</x:v>
      </x:c>
      <x:c r="K59" s="10" t="n">
        <x:v>0.5</x:v>
      </x:c>
      <x:c r="L59" s="24" t="n">
        <x:v>0.25</x:v>
      </x:c>
      <x:c r="M59" s="10" t="str">
        <x:v>Sprint 2026-06</x:v>
      </x:c>
      <x:c r="N59" s="10" t="str">
        <x:v>Kent Police Reporting\Fabric Reports</x:v>
      </x:c>
      <x:c r="O59" s="10" t="str">
        <x:v>Kent Police Reporting\Sprint 2026-06</x:v>
      </x:c>
      <x:c r="P59" s="28" t="n">
        <x:v>46192</x:v>
      </x:c>
      <x:c r="Q59" s="28" t="n">
        <x:v>46198</x:v>
      </x:c>
      <x:c r="R59" s="10" t="str">
        <x:v>Stop and Search Summary</x:v>
      </x:c>
      <x:c r="S59" s="10" t="str">
        <x:v>PROD - Stop and Search Semantic Model</x:v>
      </x:c>
      <x:c r="T59" s="10" t="str">
        <x:v>Analyst Report Workspace</x:v>
      </x:c>
      <x:c r="U59" s="10" t="str">
        <x:v>Bug; Current Sprint</x:v>
      </x:c>
      <x:c r="V59" s="10" t="str">
        <x:v>Issue is reviewed, corrected and validated before publishing.</x:v>
      </x:c>
      <x:c r="W59" s="10" t="str">
        <x:v>Sample bug raised during report review for Stop and Search Summary.</x:v>
      </x:c>
    </x:row>
    <x:row r="60" ht="15" hidden="0" customHeight="1">
      <x:c r="A60" s="10" t="n">
        <x:v>1059</x:v>
      </x:c>
      <x:c r="B60" s="10" t="n">
        <x:v>1003</x:v>
      </x:c>
      <x:c r="C60" s="10" t="str">
        <x:v>Bug</x:v>
      </x:c>
      <x:c r="D60" s="10" t="str">
        <x:v>Publishing checklist link missing from report notes</x:v>
      </x:c>
      <x:c r="E60" s="10" t="str">
        <x:v>Resolved</x:v>
      </x:c>
      <x:c r="F60" s="10" t="str">
        <x:v>Kishore K</x:v>
      </x:c>
      <x:c r="G60" s="10" t="str">
        <x:v>Low</x:v>
      </x:c>
      <x:c r="H60" s="10" t="n">
        <x:v>0</x:v>
      </x:c>
      <x:c r="I60" s="10" t="n">
        <x:v>2</x:v>
      </x:c>
      <x:c r="J60" s="10" t="n">
        <x:v>1</x:v>
      </x:c>
      <x:c r="K60" s="10" t="n">
        <x:v>1</x:v>
      </x:c>
      <x:c r="L60" s="24" t="n">
        <x:v>0.5</x:v>
      </x:c>
      <x:c r="M60" s="10" t="str">
        <x:v>Sprint 2026-06</x:v>
      </x:c>
      <x:c r="N60" s="10" t="str">
        <x:v>Kent Police Reporting\Fabric Reports</x:v>
      </x:c>
      <x:c r="O60" s="10" t="str">
        <x:v>Kent Police Reporting\Sprint 2026-06</x:v>
      </x:c>
      <x:c r="P60" s="28" t="n">
        <x:v>46188</x:v>
      </x:c>
      <x:c r="Q60" s="28" t="n">
        <x:v>46198</x:v>
      </x:c>
      <x:c r="R60" s="10" t="str">
        <x:v>All Reporting Packs</x:v>
      </x:c>
      <x:c r="S60" s="10" t="str">
        <x:v>PROD - Approved Semantic Models</x:v>
      </x:c>
      <x:c r="T60" s="10" t="str">
        <x:v>Analyst Report Workspace</x:v>
      </x:c>
      <x:c r="U60" s="10" t="str">
        <x:v>Bug; Current Sprint</x:v>
      </x:c>
      <x:c r="V60" s="10" t="str">
        <x:v>Issue is reviewed, corrected and validated before publishing.</x:v>
      </x:c>
      <x:c r="W60" s="10" t="str">
        <x:v>Sample bug raised during report review for All Reporting Packs.</x:v>
      </x:c>
    </x:row>
    <x:row r="61" ht="15" hidden="0" customHeight="1">
      <x:c r="A61" s="10" t="n">
        <x:v>1060</x:v>
      </x:c>
      <x:c r="B61" s="10" t="n">
        <x:v>1005</x:v>
      </x:c>
      <x:c r="C61" s="10" t="str">
        <x:v>Bug</x:v>
      </x:c>
      <x:c r="D61" s="10" t="str">
        <x:v>Sprint summary status count not refreshing</x:v>
      </x:c>
      <x:c r="E61" s="10" t="str">
        <x:v>Closed</x:v>
      </x:c>
      <x:c r="F61" s="10" t="str">
        <x:v>Daniel Carter</x:v>
      </x:c>
      <x:c r="G61" s="10" t="str">
        <x:v>Medium</x:v>
      </x:c>
      <x:c r="H61" s="10" t="n">
        <x:v>0</x:v>
      </x:c>
      <x:c r="I61" s="10" t="n">
        <x:v>2</x:v>
      </x:c>
      <x:c r="J61" s="10" t="n">
        <x:v>0</x:v>
      </x:c>
      <x:c r="K61" s="10" t="n">
        <x:v>2</x:v>
      </x:c>
      <x:c r="L61" s="24" t="n">
        <x:v>1</x:v>
      </x:c>
      <x:c r="M61" s="10" t="str">
        <x:v>Sprint 2026-06</x:v>
      </x:c>
      <x:c r="N61" s="10" t="str">
        <x:v>Kent Police Reporting\Fabric Reports</x:v>
      </x:c>
      <x:c r="O61" s="10" t="str">
        <x:v>Kent Police Reporting\Sprint 2026-06</x:v>
      </x:c>
      <x:c r="P61" s="28" t="n">
        <x:v>46189</x:v>
      </x:c>
      <x:c r="Q61" s="28" t="n">
        <x:v>46198</x:v>
      </x:c>
      <x:c r="R61" s="10" t="str">
        <x:v>Sprint Summary Report</x:v>
      </x:c>
      <x:c r="S61" s="10" t="str">
        <x:v>Azure DevOps Work Items</x:v>
      </x:c>
      <x:c r="T61" s="10" t="str">
        <x:v>Analyst Report Workspace</x:v>
      </x:c>
      <x:c r="U61" s="10" t="str">
        <x:v>Bug; Current Sprint</x:v>
      </x:c>
      <x:c r="V61" s="10" t="str">
        <x:v>Issue is reviewed, corrected and validated before publishing.</x:v>
      </x:c>
      <x:c r="W61" s="10" t="str">
        <x:v>Sample bug raised during report review for Sprint Summary Report.</x:v>
      </x:c>
    </x:row>
    <x:row r="62" ht="15" hidden="0" customHeight="1">
      <x:c r="A62" s="10" t="n">
        <x:v>1061</x:v>
      </x:c>
      <x:c r="B62" s="10" t="n">
        <x:v>1005</x:v>
      </x:c>
      <x:c r="C62" s="10" t="str">
        <x:v>Bug</x:v>
      </x:c>
      <x:c r="D62" s="10" t="str">
        <x:v>Report readiness visual missing closed items</x:v>
      </x:c>
      <x:c r="E62" s="10" t="str">
        <x:v>New</x:v>
      </x:c>
      <x:c r="F62" s="10" t="str">
        <x:v>Priya Nair</x:v>
      </x:c>
      <x:c r="G62" s="10" t="str">
        <x:v>Low</x:v>
      </x:c>
      <x:c r="H62" s="10" t="n">
        <x:v>0</x:v>
      </x:c>
      <x:c r="I62" s="10" t="n">
        <x:v>2</x:v>
      </x:c>
      <x:c r="J62" s="10" t="n">
        <x:v>2</x:v>
      </x:c>
      <x:c r="K62" s="10" t="n">
        <x:v>0</x:v>
      </x:c>
      <x:c r="L62" s="24" t="n">
        <x:v>0</x:v>
      </x:c>
      <x:c r="M62" s="10" t="str">
        <x:v>Sprint 2026-06</x:v>
      </x:c>
      <x:c r="N62" s="10" t="str">
        <x:v>Kent Police Reporting\Fabric Reports</x:v>
      </x:c>
      <x:c r="O62" s="10" t="str">
        <x:v>Kent Police Reporting\Sprint 2026-06</x:v>
      </x:c>
      <x:c r="P62" s="28" t="n">
        <x:v>46190</x:v>
      </x:c>
      <x:c r="Q62" s="28" t="n">
        <x:v>46198</x:v>
      </x:c>
      <x:c r="R62" s="10" t="str">
        <x:v>Report Readiness Dashboard</x:v>
      </x:c>
      <x:c r="S62" s="10" t="str">
        <x:v>Azure DevOps Work Items</x:v>
      </x:c>
      <x:c r="T62" s="10" t="str">
        <x:v>Analyst Report Workspace</x:v>
      </x:c>
      <x:c r="U62" s="10" t="str">
        <x:v>Bug; Current Sprint</x:v>
      </x:c>
      <x:c r="V62" s="10" t="str">
        <x:v>Issue is reviewed, corrected and validated before publishing.</x:v>
      </x:c>
      <x:c r="W62" s="10" t="str">
        <x:v>Sample bug raised during report review for Report Readiness Dashboard.</x:v>
      </x:c>
    </x:row>
    <x:row r="63" ht="15" hidden="0" customHeight="1">
      <x:c r="A63" s="10" t="n">
        <x:v>1062</x:v>
      </x:c>
      <x:c r="B63" s="10" t="n">
        <x:v>1004</x:v>
      </x:c>
      <x:c r="C63" s="10" t="str">
        <x:v>Feature</x:v>
      </x:c>
      <x:c r="D63" s="10" t="str">
        <x:v>Future reporting enhancements backlog</x:v>
      </x:c>
      <x:c r="E63" s="10" t="str">
        <x:v>New</x:v>
      </x:c>
      <x:c r="F63" s="10" t="str">
        <x:v>Kishore K</x:v>
      </x:c>
      <x:c r="G63" s="10" t="str">
        <x:v>Low</x:v>
      </x:c>
      <x:c r="H63" s="10" t="n">
        <x:v>0</x:v>
      </x:c>
      <x:c r="I63" s="10" t="n">
        <x:v>0</x:v>
      </x:c>
      <x:c r="J63" s="10" t="n">
        <x:v>0</x:v>
      </x:c>
      <x:c r="K63" s="10" t="n">
        <x:v>0</x:v>
      </x:c>
      <x:c r="L63" s="24" t="n">
        <x:v>0</x:v>
      </x:c>
      <x:c r="M63" s="10" t="str">
        <x:v>Sprint 2026-06</x:v>
      </x:c>
      <x:c r="N63" s="10" t="str">
        <x:v>Kent Police Reporting\Fabric Reports</x:v>
      </x:c>
      <x:c r="O63" s="10" t="str">
        <x:v>Kent Police Reporting\Sprint 2026-06</x:v>
      </x:c>
      <x:c r="P63" s="28" t="n">
        <x:v>46189</x:v>
      </x:c>
      <x:c r="Q63" s="28" t="n">
        <x:v>46208</x:v>
      </x:c>
      <x:c r="R63" s="10" t="str"/>
      <x:c r="S63" s="10" t="str"/>
      <x:c r="T63" s="10" t="str"/>
      <x:c r="U63" s="10" t="str">
        <x:v>Backlog</x:v>
      </x:c>
      <x:c r="V63" s="10" t="str">
        <x:v>Future report ideas are captured for later planning.</x:v>
      </x:c>
      <x:c r="W63" s="10" t="str">
        <x:v>Items not planned for the current sprint.</x:v>
      </x:c>
    </x:row>
    <x:row r="64" ht="15" hidden="0" customHeight="1">
      <x:c r="A64" s="10" t="n">
        <x:v>1063</x:v>
      </x:c>
      <x:c r="B64" s="10" t="n">
        <x:v>1062</x:v>
      </x:c>
      <x:c r="C64" s="10" t="str">
        <x:v>User Story</x:v>
      </x:c>
      <x:c r="D64" s="10" t="str">
        <x:v>Add export-friendly page for monthly pack</x:v>
      </x:c>
      <x:c r="E64" s="10" t="str">
        <x:v>New</x:v>
      </x:c>
      <x:c r="F64" s="10" t="str">
        <x:v>Priya Nair</x:v>
      </x:c>
      <x:c r="G64" s="10" t="str">
        <x:v>Low</x:v>
      </x:c>
      <x:c r="H64" s="10" t="n">
        <x:v>2</x:v>
      </x:c>
      <x:c r="I64" s="10" t="n">
        <x:v>4</x:v>
      </x:c>
      <x:c r="J64" s="10" t="n">
        <x:v>4</x:v>
      </x:c>
      <x:c r="K64" s="10" t="n">
        <x:v>0</x:v>
      </x:c>
      <x:c r="L64" s="24" t="n">
        <x:v>0</x:v>
      </x:c>
      <x:c r="M64" s="10" t="str">
        <x:v>Sprint 2026-06</x:v>
      </x:c>
      <x:c r="N64" s="10" t="str">
        <x:v>Kent Police Reporting\Fabric Reports</x:v>
      </x:c>
      <x:c r="O64" s="10" t="str">
        <x:v>Kent Police Reporting\Sprint 2026-06</x:v>
      </x:c>
      <x:c r="P64" s="28" t="n">
        <x:v>46192</x:v>
      </x:c>
      <x:c r="Q64" s="28" t="n">
        <x:v>46213</x:v>
      </x:c>
      <x:c r="R64" s="10" t="str">
        <x:v>Monthly Incident Performance Report</x:v>
      </x:c>
      <x:c r="S64" s="10" t="str">
        <x:v>PROD - Incident Reporting Semantic Model</x:v>
      </x:c>
      <x:c r="T64" s="10" t="str">
        <x:v>Backlog</x:v>
      </x:c>
      <x:c r="U64" s="10" t="str">
        <x:v>Backlog; Report</x:v>
      </x:c>
      <x:c r="V64" s="10" t="str">
        <x:v>Item is ready for future prioritisation.</x:v>
      </x:c>
      <x:c r="W64" s="10" t="str">
        <x:v>Future reporting improvement not included in current sprint.</x:v>
      </x:c>
    </x:row>
    <x:row r="65" ht="15" hidden="0" customHeight="1">
      <x:c r="A65" s="10" t="n">
        <x:v>1064</x:v>
      </x:c>
      <x:c r="B65" s="10" t="n">
        <x:v>1062</x:v>
      </x:c>
      <x:c r="C65" s="10" t="str">
        <x:v>User Story</x:v>
      </x:c>
      <x:c r="D65" s="10" t="str">
        <x:v>Create executive summary navigation page</x:v>
      </x:c>
      <x:c r="E65" s="10" t="str">
        <x:v>New</x:v>
      </x:c>
      <x:c r="F65" s="10" t="str">
        <x:v>Priya Nair</x:v>
      </x:c>
      <x:c r="G65" s="10" t="str">
        <x:v>Low</x:v>
      </x:c>
      <x:c r="H65" s="10" t="n">
        <x:v>2</x:v>
      </x:c>
      <x:c r="I65" s="10" t="n">
        <x:v>4</x:v>
      </x:c>
      <x:c r="J65" s="10" t="n">
        <x:v>4</x:v>
      </x:c>
      <x:c r="K65" s="10" t="n">
        <x:v>0</x:v>
      </x:c>
      <x:c r="L65" s="24" t="n">
        <x:v>0</x:v>
      </x:c>
      <x:c r="M65" s="10" t="str">
        <x:v>Sprint 2026-06</x:v>
      </x:c>
      <x:c r="N65" s="10" t="str">
        <x:v>Kent Police Reporting\Fabric Reports</x:v>
      </x:c>
      <x:c r="O65" s="10" t="str">
        <x:v>Kent Police Reporting\Sprint 2026-06</x:v>
      </x:c>
      <x:c r="P65" s="28" t="n">
        <x:v>46192</x:v>
      </x:c>
      <x:c r="Q65" s="28" t="n">
        <x:v>46213</x:v>
      </x:c>
      <x:c r="R65" s="10" t="str">
        <x:v>Operational Demand Dashboard</x:v>
      </x:c>
      <x:c r="S65" s="10" t="str">
        <x:v>PROD - Incident Reporting Semantic Model</x:v>
      </x:c>
      <x:c r="T65" s="10" t="str">
        <x:v>Backlog</x:v>
      </x:c>
      <x:c r="U65" s="10" t="str">
        <x:v>Backlog; Report</x:v>
      </x:c>
      <x:c r="V65" s="10" t="str">
        <x:v>Item is ready for future prioritisation.</x:v>
      </x:c>
      <x:c r="W65" s="10" t="str">
        <x:v>Future reporting improvement not included in current sprint.</x:v>
      </x:c>
    </x:row>
    <x:row r="66" ht="15" hidden="0" customHeight="1">
      <x:c r="A66" s="10" t="n">
        <x:v>1065</x:v>
      </x:c>
      <x:c r="B66" s="10" t="n">
        <x:v>1062</x:v>
      </x:c>
      <x:c r="C66" s="10" t="str">
        <x:v>User Story</x:v>
      </x:c>
      <x:c r="D66" s="10" t="str">
        <x:v>Add glossary page for report definitions</x:v>
      </x:c>
      <x:c r="E66" s="10" t="str">
        <x:v>New</x:v>
      </x:c>
      <x:c r="F66" s="10" t="str">
        <x:v>Tom Hughes</x:v>
      </x:c>
      <x:c r="G66" s="10" t="str">
        <x:v>Low</x:v>
      </x:c>
      <x:c r="H66" s="10" t="n">
        <x:v>2</x:v>
      </x:c>
      <x:c r="I66" s="10" t="n">
        <x:v>4</x:v>
      </x:c>
      <x:c r="J66" s="10" t="n">
        <x:v>4</x:v>
      </x:c>
      <x:c r="K66" s="10" t="n">
        <x:v>0</x:v>
      </x:c>
      <x:c r="L66" s="24" t="n">
        <x:v>0</x:v>
      </x:c>
      <x:c r="M66" s="10" t="str">
        <x:v>Sprint 2026-06</x:v>
      </x:c>
      <x:c r="N66" s="10" t="str">
        <x:v>Kent Police Reporting\Fabric Reports</x:v>
      </x:c>
      <x:c r="O66" s="10" t="str">
        <x:v>Kent Police Reporting\Sprint 2026-06</x:v>
      </x:c>
      <x:c r="P66" s="28" t="n">
        <x:v>46192</x:v>
      </x:c>
      <x:c r="Q66" s="28" t="n">
        <x:v>46213</x:v>
      </x:c>
      <x:c r="R66" s="10" t="str">
        <x:v>All Reporting Packs</x:v>
      </x:c>
      <x:c r="S66" s="10" t="str">
        <x:v>PROD - Approved Semantic Models</x:v>
      </x:c>
      <x:c r="T66" s="10" t="str">
        <x:v>Backlog</x:v>
      </x:c>
      <x:c r="U66" s="10" t="str">
        <x:v>Backlog; Report</x:v>
      </x:c>
      <x:c r="V66" s="10" t="str">
        <x:v>Item is ready for future prioritisation.</x:v>
      </x:c>
      <x:c r="W66" s="10" t="str">
        <x:v>Future reporting improvement not included in current sprint.</x:v>
      </x:c>
    </x:row>
    <x:row r="67" ht="15" hidden="0" customHeight="1">
      <x:c r="L67" s="25"/>
      <x:c r="P67" s="29"/>
      <x:c r="Q67" s="29"/>
    </x:row>
    <x:row r="68" ht="15" hidden="0" customHeight="1">
      <x:c r="L68" s="25"/>
      <x:c r="P68" s="29"/>
      <x:c r="Q68" s="29"/>
    </x:row>
    <x:row r="69" ht="15" hidden="0" customHeight="1">
      <x:c r="L69" s="25"/>
      <x:c r="P69" s="29"/>
      <x:c r="Q69" s="29"/>
    </x:row>
    <x:row r="70" ht="15" hidden="0" customHeight="1">
      <x:c r="L70" s="25"/>
      <x:c r="P70" s="29"/>
      <x:c r="Q70" s="29"/>
    </x:row>
    <x:row r="71" ht="15" hidden="0" customHeight="1">
      <x:c r="L71" s="25"/>
      <x:c r="P71" s="29"/>
      <x:c r="Q71" s="29"/>
    </x:row>
    <x:row r="72" ht="15" hidden="0" customHeight="1">
      <x:c r="L72" s="25"/>
      <x:c r="P72" s="29"/>
      <x:c r="Q72" s="29"/>
    </x:row>
    <x:row r="73" ht="15" hidden="0" customHeight="1">
      <x:c r="L73" s="25"/>
      <x:c r="P73" s="29"/>
      <x:c r="Q73" s="29"/>
    </x:row>
    <x:row r="74" ht="15" hidden="0" customHeight="1">
      <x:c r="L74" s="25"/>
      <x:c r="P74" s="29"/>
      <x:c r="Q74" s="29"/>
    </x:row>
    <x:row r="75" ht="15" hidden="0" customHeight="1">
      <x:c r="L75" s="25"/>
      <x:c r="P75" s="29"/>
      <x:c r="Q75" s="29"/>
    </x:row>
    <x:row r="76" ht="15" hidden="0" customHeight="1">
      <x:c r="L76" s="25"/>
      <x:c r="P76" s="29"/>
      <x:c r="Q76" s="29"/>
    </x:row>
    <x:row r="77" ht="15" hidden="0" customHeight="1">
      <x:c r="L77" s="25"/>
      <x:c r="P77" s="29"/>
      <x:c r="Q77" s="29"/>
    </x:row>
    <x:row r="78" ht="15" hidden="0" customHeight="1">
      <x:c r="L78" s="25"/>
      <x:c r="P78" s="29"/>
      <x:c r="Q78" s="29"/>
    </x:row>
    <x:row r="79" ht="15" hidden="0" customHeight="1">
      <x:c r="L79" s="25"/>
      <x:c r="P79" s="29"/>
      <x:c r="Q79" s="29"/>
    </x:row>
    <x:row r="80" ht="15" hidden="0" customHeight="1">
      <x:c r="L80" s="25"/>
      <x:c r="P80" s="29"/>
      <x:c r="Q80" s="29"/>
    </x:row>
    <x:row r="81" ht="15" hidden="0" customHeight="1">
      <x:c r="L81" s="25"/>
      <x:c r="P81" s="29"/>
      <x:c r="Q81" s="29"/>
    </x:row>
    <x:row r="82" ht="15" hidden="0" customHeight="1">
      <x:c r="L82" s="25"/>
      <x:c r="P82" s="29"/>
      <x:c r="Q82" s="29"/>
    </x:row>
    <x:row r="83" ht="15" hidden="0" customHeight="1">
      <x:c r="L83" s="25"/>
      <x:c r="P83" s="29"/>
      <x:c r="Q83" s="29"/>
    </x:row>
    <x:row r="84" ht="15" hidden="0" customHeight="1">
      <x:c r="L84" s="25"/>
      <x:c r="P84" s="29"/>
      <x:c r="Q84" s="29"/>
    </x:row>
    <x:row r="85" ht="15" hidden="0" customHeight="1">
      <x:c r="L85" s="25"/>
      <x:c r="P85" s="29"/>
      <x:c r="Q85" s="29"/>
    </x:row>
    <x:row r="86" ht="15" hidden="0" customHeight="1">
      <x:c r="L86" s="25"/>
      <x:c r="P86" s="29"/>
      <x:c r="Q86" s="29"/>
    </x:row>
    <x:row r="87" ht="15" hidden="0" customHeight="1">
      <x:c r="L87" s="25"/>
      <x:c r="P87" s="29"/>
      <x:c r="Q87" s="29"/>
    </x:row>
    <x:row r="88" ht="15" hidden="0" customHeight="1">
      <x:c r="L88" s="25"/>
      <x:c r="P88" s="29"/>
      <x:c r="Q88" s="29"/>
    </x:row>
    <x:row r="89" ht="15" hidden="0" customHeight="1">
      <x:c r="L89" s="25"/>
      <x:c r="P89" s="29"/>
      <x:c r="Q89" s="29"/>
    </x:row>
    <x:row r="90" ht="15" hidden="0" customHeight="1">
      <x:c r="L90" s="25"/>
      <x:c r="P90" s="29"/>
      <x:c r="Q90" s="29"/>
    </x:row>
    <x:row r="91" ht="15" hidden="0" customHeight="1">
      <x:c r="L91" s="25"/>
      <x:c r="P91" s="29"/>
      <x:c r="Q91" s="29"/>
    </x:row>
    <x:row r="92" ht="15" hidden="0" customHeight="1">
      <x:c r="L92" s="25"/>
      <x:c r="P92" s="29"/>
      <x:c r="Q92" s="29"/>
    </x:row>
    <x:row r="93" ht="15" hidden="0" customHeight="1">
      <x:c r="L93" s="25"/>
      <x:c r="P93" s="29"/>
      <x:c r="Q93" s="29"/>
    </x:row>
    <x:row r="94" ht="15" hidden="0" customHeight="1">
      <x:c r="L94" s="25"/>
      <x:c r="P94" s="29"/>
      <x:c r="Q94" s="29"/>
    </x:row>
    <x:row r="95" ht="15" hidden="0" customHeight="1">
      <x:c r="L95" s="25"/>
      <x:c r="P95" s="29"/>
      <x:c r="Q95" s="29"/>
    </x:row>
    <x:row r="96" ht="15" hidden="0" customHeight="1">
      <x:c r="L96" s="25"/>
      <x:c r="P96" s="29"/>
      <x:c r="Q96" s="29"/>
    </x:row>
    <x:row r="97" ht="15" hidden="0" customHeight="1">
      <x:c r="L97" s="25"/>
      <x:c r="P97" s="29"/>
      <x:c r="Q97" s="29"/>
    </x:row>
    <x:row r="98" ht="15" hidden="0" customHeight="1">
      <x:c r="L98" s="25"/>
      <x:c r="P98" s="29"/>
      <x:c r="Q98" s="29"/>
    </x:row>
    <x:row r="99" ht="15" hidden="0" customHeight="1">
      <x:c r="L99" s="25"/>
      <x:c r="P99" s="29"/>
      <x:c r="Q99" s="29"/>
    </x:row>
    <x:row r="100" ht="15" hidden="0" customHeight="1">
      <x:c r="L100" s="25"/>
      <x:c r="P100" s="29"/>
      <x:c r="Q100" s="29"/>
    </x:row>
    <x:row r="101" ht="15" hidden="0" customHeight="1">
      <x:c r="L101" s="25"/>
      <x:c r="P101" s="29"/>
      <x:c r="Q101" s="29"/>
    </x:row>
    <x:row r="102" ht="15" hidden="0" customHeight="1">
      <x:c r="L102" s="25"/>
      <x:c r="P102" s="29"/>
      <x:c r="Q102" s="29"/>
    </x:row>
    <x:row r="103" ht="15" hidden="0" customHeight="1">
      <x:c r="L103" s="25"/>
      <x:c r="P103" s="29"/>
      <x:c r="Q103" s="29"/>
    </x:row>
    <x:row r="104" ht="15" hidden="0" customHeight="1">
      <x:c r="L104" s="25"/>
      <x:c r="P104" s="29"/>
      <x:c r="Q104" s="29"/>
    </x:row>
    <x:row r="105" ht="15" hidden="0" customHeight="1">
      <x:c r="L105" s="25"/>
      <x:c r="P105" s="29"/>
      <x:c r="Q105" s="29"/>
    </x:row>
    <x:row r="106" ht="15" hidden="0" customHeight="1">
      <x:c r="L106" s="25"/>
      <x:c r="P106" s="29"/>
      <x:c r="Q106" s="29"/>
    </x:row>
    <x:row r="107" ht="15" hidden="0" customHeight="1">
      <x:c r="L107" s="25"/>
      <x:c r="P107" s="29"/>
      <x:c r="Q107" s="29"/>
    </x:row>
    <x:row r="108" ht="15" hidden="0" customHeight="1">
      <x:c r="L108" s="25"/>
      <x:c r="P108" s="29"/>
      <x:c r="Q108" s="29"/>
    </x:row>
    <x:row r="109" ht="15" hidden="0" customHeight="1">
      <x:c r="L109" s="25"/>
      <x:c r="P109" s="29"/>
      <x:c r="Q109" s="29"/>
    </x:row>
    <x:row r="110" ht="15" hidden="0" customHeight="1">
      <x:c r="L110" s="25"/>
      <x:c r="P110" s="29"/>
      <x:c r="Q110" s="29"/>
    </x:row>
    <x:row r="111" ht="15" hidden="0" customHeight="1">
      <x:c r="L111" s="25"/>
      <x:c r="P111" s="29"/>
      <x:c r="Q111" s="29"/>
    </x:row>
    <x:row r="112" ht="15" hidden="0" customHeight="1">
      <x:c r="L112" s="25"/>
      <x:c r="P112" s="29"/>
      <x:c r="Q112" s="29"/>
    </x:row>
    <x:row r="113" ht="15" hidden="0" customHeight="1">
      <x:c r="L113" s="25"/>
      <x:c r="P113" s="29"/>
      <x:c r="Q113" s="29"/>
    </x:row>
    <x:row r="114" ht="15" hidden="0" customHeight="1">
      <x:c r="L114" s="25"/>
      <x:c r="P114" s="29"/>
      <x:c r="Q114" s="29"/>
    </x:row>
    <x:row r="115" ht="15" hidden="0" customHeight="1">
      <x:c r="L115" s="25"/>
      <x:c r="P115" s="29"/>
      <x:c r="Q115" s="29"/>
    </x:row>
    <x:row r="116" ht="15" hidden="0" customHeight="1">
      <x:c r="L116" s="25"/>
      <x:c r="P116" s="29"/>
      <x:c r="Q116" s="29"/>
    </x:row>
    <x:row r="117" ht="15" hidden="0" customHeight="1">
      <x:c r="L117" s="25"/>
      <x:c r="P117" s="29"/>
      <x:c r="Q117" s="29"/>
    </x:row>
    <x:row r="118" ht="15" hidden="0" customHeight="1">
      <x:c r="L118" s="25"/>
      <x:c r="P118" s="29"/>
      <x:c r="Q118" s="29"/>
    </x:row>
    <x:row r="119" ht="15" hidden="0" customHeight="1">
      <x:c r="L119" s="25"/>
      <x:c r="P119" s="29"/>
      <x:c r="Q119" s="29"/>
    </x:row>
    <x:row r="120" ht="15" hidden="0" customHeight="1">
      <x:c r="L120" s="25"/>
      <x:c r="P120" s="29"/>
      <x:c r="Q120" s="29"/>
    </x:row>
    <x:row r="121" ht="15" hidden="0" customHeight="1">
      <x:c r="L121" s="25"/>
      <x:c r="P121" s="29"/>
      <x:c r="Q121" s="29"/>
    </x:row>
    <x:row r="122" ht="15" hidden="0" customHeight="1">
      <x:c r="L122" s="25"/>
      <x:c r="P122" s="29"/>
      <x:c r="Q122" s="29"/>
    </x:row>
    <x:row r="123" ht="15" hidden="0" customHeight="1">
      <x:c r="L123" s="25"/>
      <x:c r="P123" s="29"/>
      <x:c r="Q123" s="29"/>
    </x:row>
    <x:row r="124" ht="15" hidden="0" customHeight="1">
      <x:c r="L124" s="25"/>
      <x:c r="P124" s="29"/>
      <x:c r="Q124" s="29"/>
    </x:row>
    <x:row r="125" ht="15" hidden="0" customHeight="1">
      <x:c r="L125" s="25"/>
      <x:c r="P125" s="29"/>
      <x:c r="Q125" s="29"/>
    </x:row>
    <x:row r="126" ht="15" hidden="0" customHeight="1">
      <x:c r="L126" s="25"/>
      <x:c r="P126" s="29"/>
      <x:c r="Q126" s="29"/>
    </x:row>
    <x:row r="127" ht="15" hidden="0" customHeight="1">
      <x:c r="L127" s="25"/>
      <x:c r="P127" s="29"/>
      <x:c r="Q127" s="29"/>
    </x:row>
    <x:row r="128" ht="15" hidden="0" customHeight="1">
      <x:c r="L128" s="25"/>
      <x:c r="P128" s="29"/>
      <x:c r="Q128" s="29"/>
    </x:row>
    <x:row r="129" ht="15" hidden="0" customHeight="1">
      <x:c r="L129" s="25"/>
      <x:c r="P129" s="29"/>
      <x:c r="Q129" s="29"/>
    </x:row>
    <x:row r="130" ht="15" hidden="0" customHeight="1">
      <x:c r="L130" s="25"/>
      <x:c r="P130" s="29"/>
      <x:c r="Q130" s="29"/>
    </x:row>
    <x:row r="131" ht="15" hidden="0" customHeight="1">
      <x:c r="L131" s="25"/>
      <x:c r="P131" s="29"/>
      <x:c r="Q131" s="29"/>
    </x:row>
    <x:row r="132" ht="15" hidden="0" customHeight="1">
      <x:c r="L132" s="25"/>
      <x:c r="P132" s="29"/>
      <x:c r="Q132" s="29"/>
    </x:row>
    <x:row r="133" ht="15" hidden="0" customHeight="1">
      <x:c r="L133" s="25"/>
      <x:c r="P133" s="29"/>
      <x:c r="Q133" s="29"/>
    </x:row>
    <x:row r="134" ht="15" hidden="0" customHeight="1">
      <x:c r="L134" s="25"/>
      <x:c r="P134" s="29"/>
      <x:c r="Q134" s="29"/>
    </x:row>
    <x:row r="135" ht="15" hidden="0" customHeight="1">
      <x:c r="L135" s="25"/>
      <x:c r="P135" s="29"/>
      <x:c r="Q135" s="29"/>
    </x:row>
    <x:row r="136" ht="15" hidden="0" customHeight="1">
      <x:c r="L136" s="25"/>
      <x:c r="P136" s="29"/>
      <x:c r="Q136" s="29"/>
    </x:row>
    <x:row r="137" ht="15" hidden="0" customHeight="1">
      <x:c r="L137" s="25"/>
      <x:c r="P137" s="29"/>
      <x:c r="Q137" s="29"/>
    </x:row>
    <x:row r="138" ht="15" hidden="0" customHeight="1">
      <x:c r="L138" s="25"/>
      <x:c r="P138" s="29"/>
      <x:c r="Q138" s="29"/>
    </x:row>
    <x:row r="139" ht="15" hidden="0" customHeight="1">
      <x:c r="L139" s="25"/>
      <x:c r="P139" s="29"/>
      <x:c r="Q139" s="29"/>
    </x:row>
    <x:row r="140" ht="15" hidden="0" customHeight="1">
      <x:c r="L140" s="25"/>
      <x:c r="P140" s="29"/>
      <x:c r="Q140" s="29"/>
    </x:row>
    <x:row r="141" ht="15" hidden="0" customHeight="1">
      <x:c r="L141" s="25"/>
      <x:c r="P141" s="29"/>
      <x:c r="Q141" s="29"/>
    </x:row>
    <x:row r="142" ht="15" hidden="0" customHeight="1">
      <x:c r="L142" s="25"/>
      <x:c r="P142" s="29"/>
      <x:c r="Q142" s="29"/>
    </x:row>
    <x:row r="143" ht="15" hidden="0" customHeight="1">
      <x:c r="L143" s="25"/>
      <x:c r="P143" s="29"/>
      <x:c r="Q143" s="29"/>
    </x:row>
    <x:row r="144" ht="15" hidden="0" customHeight="1">
      <x:c r="L144" s="25"/>
      <x:c r="P144" s="29"/>
      <x:c r="Q144" s="29"/>
    </x:row>
    <x:row r="145" ht="15" hidden="0" customHeight="1">
      <x:c r="L145" s="25"/>
      <x:c r="P145" s="29"/>
      <x:c r="Q145" s="29"/>
    </x:row>
    <x:row r="146" ht="15" hidden="0" customHeight="1">
      <x:c r="L146" s="25"/>
      <x:c r="P146" s="29"/>
      <x:c r="Q146" s="29"/>
    </x:row>
    <x:row r="147" ht="15" hidden="0" customHeight="1">
      <x:c r="L147" s="25"/>
      <x:c r="P147" s="29"/>
      <x:c r="Q147" s="29"/>
    </x:row>
    <x:row r="148" ht="15" hidden="0" customHeight="1">
      <x:c r="L148" s="25"/>
      <x:c r="P148" s="29"/>
      <x:c r="Q148" s="29"/>
    </x:row>
    <x:row r="149" ht="15" hidden="0" customHeight="1">
      <x:c r="L149" s="25"/>
      <x:c r="P149" s="29"/>
      <x:c r="Q149" s="29"/>
    </x:row>
    <x:row r="150" ht="15" hidden="0" customHeight="1">
      <x:c r="L150" s="25"/>
      <x:c r="P150" s="29"/>
      <x:c r="Q150" s="29"/>
    </x:row>
    <x:row r="151" ht="15" hidden="0" customHeight="1">
      <x:c r="L151" s="25"/>
      <x:c r="P151" s="29"/>
      <x:c r="Q151" s="29"/>
    </x:row>
    <x:row r="152" ht="15" hidden="0" customHeight="1">
      <x:c r="L152" s="25"/>
      <x:c r="P152" s="29"/>
      <x:c r="Q152" s="29"/>
    </x:row>
    <x:row r="153" ht="15" hidden="0" customHeight="1">
      <x:c r="L153" s="25"/>
      <x:c r="P153" s="29"/>
      <x:c r="Q153" s="29"/>
    </x:row>
    <x:row r="154" ht="15" hidden="0" customHeight="1">
      <x:c r="L154" s="25"/>
      <x:c r="P154" s="29"/>
      <x:c r="Q154" s="29"/>
    </x:row>
    <x:row r="155" ht="15" hidden="0" customHeight="1">
      <x:c r="L155" s="25"/>
      <x:c r="P155" s="29"/>
      <x:c r="Q155" s="29"/>
    </x:row>
    <x:row r="156" ht="15" hidden="0" customHeight="1">
      <x:c r="L156" s="25"/>
      <x:c r="P156" s="29"/>
      <x:c r="Q156" s="29"/>
    </x:row>
    <x:row r="157" ht="15" hidden="0" customHeight="1">
      <x:c r="L157" s="25"/>
      <x:c r="P157" s="29"/>
      <x:c r="Q157" s="29"/>
    </x:row>
    <x:row r="158" ht="15" hidden="0" customHeight="1">
      <x:c r="L158" s="25"/>
      <x:c r="P158" s="29"/>
      <x:c r="Q158" s="29"/>
    </x:row>
    <x:row r="159" ht="15" hidden="0" customHeight="1">
      <x:c r="L159" s="25"/>
      <x:c r="P159" s="29"/>
      <x:c r="Q159" s="29"/>
    </x:row>
    <x:row r="160" ht="15" hidden="0" customHeight="1">
      <x:c r="L160" s="25"/>
      <x:c r="P160" s="29"/>
      <x:c r="Q160" s="29"/>
    </x:row>
    <x:row r="161" ht="15" hidden="0" customHeight="1">
      <x:c r="L161" s="25"/>
      <x:c r="P161" s="29"/>
      <x:c r="Q161" s="29"/>
    </x:row>
    <x:row r="162" ht="15" hidden="0" customHeight="1">
      <x:c r="L162" s="25"/>
      <x:c r="P162" s="29"/>
      <x:c r="Q162" s="29"/>
    </x:row>
    <x:row r="163" ht="15" hidden="0" customHeight="1">
      <x:c r="L163" s="25"/>
      <x:c r="P163" s="29"/>
      <x:c r="Q163" s="29"/>
    </x:row>
    <x:row r="164" ht="15" hidden="0" customHeight="1">
      <x:c r="L164" s="25"/>
      <x:c r="P164" s="29"/>
      <x:c r="Q164" s="29"/>
    </x:row>
    <x:row r="165" ht="15" hidden="0" customHeight="1">
      <x:c r="L165" s="25"/>
      <x:c r="P165" s="29"/>
      <x:c r="Q165" s="29"/>
    </x:row>
    <x:row r="166" ht="15" hidden="0" customHeight="1">
      <x:c r="L166" s="25"/>
      <x:c r="P166" s="29"/>
      <x:c r="Q166" s="29"/>
    </x:row>
    <x:row r="167" ht="15" hidden="0" customHeight="1">
      <x:c r="L167" s="25"/>
      <x:c r="P167" s="29"/>
      <x:c r="Q167" s="29"/>
    </x:row>
    <x:row r="168" ht="15" hidden="0" customHeight="1">
      <x:c r="L168" s="25"/>
      <x:c r="P168" s="29"/>
      <x:c r="Q168" s="29"/>
    </x:row>
    <x:row r="169" ht="15" hidden="0" customHeight="1">
      <x:c r="L169" s="25"/>
      <x:c r="P169" s="29"/>
      <x:c r="Q169" s="29"/>
    </x:row>
    <x:row r="170" ht="15" hidden="0" customHeight="1">
      <x:c r="L170" s="25"/>
      <x:c r="P170" s="29"/>
      <x:c r="Q170" s="29"/>
    </x:row>
    <x:row r="171" ht="15" hidden="0" customHeight="1">
      <x:c r="L171" s="25"/>
      <x:c r="P171" s="29"/>
      <x:c r="Q171" s="29"/>
    </x:row>
    <x:row r="172" ht="15" hidden="0" customHeight="1">
      <x:c r="L172" s="25"/>
      <x:c r="P172" s="29"/>
      <x:c r="Q172" s="29"/>
    </x:row>
    <x:row r="173" ht="15" hidden="0" customHeight="1">
      <x:c r="L173" s="25"/>
      <x:c r="P173" s="29"/>
      <x:c r="Q173" s="29"/>
    </x:row>
    <x:row r="174" ht="15" hidden="0" customHeight="1">
      <x:c r="L174" s="25"/>
      <x:c r="P174" s="29"/>
      <x:c r="Q174" s="29"/>
    </x:row>
    <x:row r="175" ht="15" hidden="0" customHeight="1">
      <x:c r="L175" s="25"/>
      <x:c r="P175" s="29"/>
      <x:c r="Q175" s="29"/>
    </x:row>
    <x:row r="176" ht="15" hidden="0" customHeight="1">
      <x:c r="L176" s="25"/>
      <x:c r="P176" s="29"/>
      <x:c r="Q176" s="29"/>
    </x:row>
    <x:row r="177" ht="15" hidden="0" customHeight="1">
      <x:c r="L177" s="25"/>
      <x:c r="P177" s="29"/>
      <x:c r="Q177" s="29"/>
    </x:row>
    <x:row r="178" ht="15" hidden="0" customHeight="1">
      <x:c r="L178" s="25"/>
      <x:c r="P178" s="29"/>
      <x:c r="Q178" s="29"/>
    </x:row>
    <x:row r="179" ht="15" hidden="0" customHeight="1">
      <x:c r="L179" s="25"/>
      <x:c r="P179" s="29"/>
      <x:c r="Q179" s="29"/>
    </x:row>
    <x:row r="180" ht="15" hidden="0" customHeight="1">
      <x:c r="L180" s="25"/>
      <x:c r="P180" s="29"/>
      <x:c r="Q180" s="29"/>
    </x:row>
    <x:row r="181" ht="15" hidden="0" customHeight="1">
      <x:c r="L181" s="25"/>
      <x:c r="P181" s="29"/>
      <x:c r="Q181" s="29"/>
    </x:row>
    <x:row r="182" ht="15" hidden="0" customHeight="1">
      <x:c r="L182" s="25"/>
      <x:c r="P182" s="29"/>
      <x:c r="Q182" s="29"/>
    </x:row>
    <x:row r="183" ht="15" hidden="0" customHeight="1">
      <x:c r="L183" s="25"/>
      <x:c r="P183" s="29"/>
      <x:c r="Q183" s="29"/>
    </x:row>
    <x:row r="184" ht="15" hidden="0" customHeight="1">
      <x:c r="L184" s="25"/>
      <x:c r="P184" s="29"/>
      <x:c r="Q184" s="29"/>
    </x:row>
    <x:row r="185" ht="15" hidden="0" customHeight="1">
      <x:c r="L185" s="25"/>
      <x:c r="P185" s="29"/>
      <x:c r="Q185" s="29"/>
    </x:row>
    <x:row r="186" ht="15" hidden="0" customHeight="1">
      <x:c r="L186" s="25"/>
      <x:c r="P186" s="29"/>
      <x:c r="Q186" s="29"/>
    </x:row>
    <x:row r="187" ht="15" hidden="0" customHeight="1">
      <x:c r="L187" s="25"/>
      <x:c r="P187" s="29"/>
      <x:c r="Q187" s="29"/>
    </x:row>
    <x:row r="188" ht="15" hidden="0" customHeight="1">
      <x:c r="L188" s="25"/>
      <x:c r="P188" s="29"/>
      <x:c r="Q188" s="29"/>
    </x:row>
    <x:row r="189" ht="15" hidden="0" customHeight="1">
      <x:c r="L189" s="25"/>
      <x:c r="P189" s="29"/>
      <x:c r="Q189" s="29"/>
    </x:row>
    <x:row r="190" ht="15" hidden="0" customHeight="1">
      <x:c r="L190" s="25"/>
      <x:c r="P190" s="29"/>
      <x:c r="Q190" s="29"/>
    </x:row>
    <x:row r="191" ht="15" hidden="0" customHeight="1">
      <x:c r="L191" s="25"/>
      <x:c r="P191" s="29"/>
      <x:c r="Q191" s="29"/>
    </x:row>
    <x:row r="192" ht="15" hidden="0" customHeight="1">
      <x:c r="L192" s="25"/>
      <x:c r="P192" s="29"/>
      <x:c r="Q192" s="29"/>
    </x:row>
    <x:row r="193" ht="15" hidden="0" customHeight="1">
      <x:c r="L193" s="25"/>
      <x:c r="P193" s="29"/>
      <x:c r="Q193" s="29"/>
    </x:row>
    <x:row r="194" ht="15" hidden="0" customHeight="1">
      <x:c r="L194" s="25"/>
      <x:c r="P194" s="29"/>
      <x:c r="Q194" s="29"/>
    </x:row>
    <x:row r="195" ht="15" hidden="0" customHeight="1">
      <x:c r="L195" s="25"/>
      <x:c r="P195" s="29"/>
      <x:c r="Q195" s="29"/>
    </x:row>
    <x:row r="196" ht="15" hidden="0" customHeight="1">
      <x:c r="L196" s="25"/>
      <x:c r="P196" s="29"/>
      <x:c r="Q196" s="29"/>
    </x:row>
    <x:row r="197" ht="15" hidden="0" customHeight="1">
      <x:c r="L197" s="25"/>
      <x:c r="P197" s="29"/>
      <x:c r="Q197" s="29"/>
    </x:row>
    <x:row r="198" ht="15" hidden="0" customHeight="1">
      <x:c r="L198" s="25"/>
      <x:c r="P198" s="29"/>
      <x:c r="Q198" s="29"/>
    </x:row>
    <x:row r="199" ht="15" hidden="0" customHeight="1">
      <x:c r="L199" s="25"/>
      <x:c r="P199" s="29"/>
      <x:c r="Q199" s="29"/>
    </x:row>
    <x:row r="200" ht="15" hidden="0" customHeight="1">
      <x:c r="L200" s="25"/>
      <x:c r="P200" s="29"/>
      <x:c r="Q200" s="29"/>
    </x:row>
  </x:sheetData>
  <x:conditionalFormatting sqref="E2:E200">
    <x:cfRule type="expression" dxfId="0" priority="1">
      <x:formula>E2="Closed"</x:formula>
    </x:cfRule>
    <x:cfRule type="expression" dxfId="1" priority="2">
      <x:formula>E2="Active"</x:formula>
    </x:cfRule>
    <x:cfRule type="expression" dxfId="2" priority="3">
      <x:formula>E2="Resolved"</x:formula>
    </x:cfRule>
    <x:cfRule type="expression" dxfId="3" priority="4">
      <x:formula>E2="New"</x:formula>
    </x:cfRule>
  </x:conditionalFormatting>
  <x:dataValidations count="4">
    <x:dataValidation type="list" sqref="C2:C200">
      <x:formula1>Lookup_Lists!$A$2:$A$6</x:formula1>
    </x:dataValidation>
    <x:dataValidation type="list" sqref="E2:E200">
      <x:formula1>Lookup_Lists!$C$2:$C$5</x:formula1>
    </x:dataValidation>
    <x:dataValidation type="list" sqref="G2:G200">
      <x:formula1>Lookup_Lists!$G$2:$G$4</x:formula1>
    </x:dataValidation>
    <x:dataValidation type="list" sqref="F2:F200">
      <x:formula1>Lookup_Lists!$I$2:$I$7</x:formula1>
    </x:dataValidation>
  </x:dataValidations>
  <x:pageMargins left="0.7" right="0.7" top="0.75" bottom="0.75" header="0.3" footer="0.3"/>
  <x:tableParts count="1">
    <x:tablePart xmlns:r="http://schemas.openxmlformats.org/officeDocument/2006/relationships" r:id="R58ccb07e8cda4c94"/>
  </x:tableParts>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15" hidden="0" customWidth="1"/>
    <x:col min="4" max="4" width="48" hidden="0" customWidth="1"/>
    <x:col min="5" max="5" width="48" hidden="0" customWidth="1"/>
    <x:col min="6" max="6" width="8" hidden="0" customWidth="1"/>
    <x:col min="7" max="7" width="12" hidden="0" customWidth="1"/>
  </x:cols>
  <x:sheetData>
    <x:row r="1" ht="15" hidden="0" customHeight="1">
      <x:c r="A1" s="19" t="str">
        <x:v>Demo ID</x:v>
      </x:c>
      <x:c r="B1" s="19" t="str">
        <x:v>Parent Demo ID</x:v>
      </x:c>
      <x:c r="C1" s="19" t="str">
        <x:v>Work Item Type</x:v>
      </x:c>
      <x:c r="D1" s="19" t="str">
        <x:v>Title</x:v>
      </x:c>
      <x:c r="E1" s="19" t="str">
        <x:v>Parent Title</x:v>
      </x:c>
      <x:c r="F1" s="19" t="str">
        <x:v>Level</x:v>
      </x:c>
      <x:c r="G1" s="19" t="str">
        <x:v>Board Column</x:v>
      </x:c>
    </x:row>
    <x:row r="2" ht="15" hidden="0" customHeight="1">
      <x:c r="A2" t="n">
        <x:v>1001</x:v>
      </x:c>
      <x:c r="B2" t="str"/>
      <x:c r="C2" t="str">
        <x:v>Epic</x:v>
      </x:c>
      <x:c r="D2" t="str">
        <x:v>Modernise management reporting in Microsoft Fabric</x:v>
      </x:c>
      <x:c r="E2" t="str"/>
      <x:c r="F2" t="n">
        <x:v>1</x:v>
      </x:c>
      <x:c r="G2" t="str">
        <x:v>Doing</x:v>
      </x:c>
    </x:row>
    <x:row r="3" ht="15" hidden="0" customHeight="1">
      <x:c r="A3" t="n">
        <x:v>1002</x:v>
      </x:c>
      <x:c r="B3" t="n">
        <x:v>1001</x:v>
      </x:c>
      <x:c r="C3" t="str">
        <x:v>Feature</x:v>
      </x:c>
      <x:c r="D3" t="str">
        <x:v>Core operational reporting pack</x:v>
      </x:c>
      <x:c r="E3" t="str">
        <x:v>Modernise management reporting in Microsoft Fabric</x:v>
      </x:c>
      <x:c r="F3" t="n">
        <x:v>2</x:v>
      </x:c>
      <x:c r="G3" t="str">
        <x:v>Doing</x:v>
      </x:c>
    </x:row>
    <x:row r="4" ht="15" hidden="0" customHeight="1">
      <x:c r="A4" t="n">
        <x:v>1003</x:v>
      </x:c>
      <x:c r="B4" t="n">
        <x:v>1001</x:v>
      </x:c>
      <x:c r="C4" t="str">
        <x:v>Feature</x:v>
      </x:c>
      <x:c r="D4" t="str">
        <x:v>Report validation and publishing process</x:v>
      </x:c>
      <x:c r="E4" t="str">
        <x:v>Modernise management reporting in Microsoft Fabric</x:v>
      </x:c>
      <x:c r="F4" t="n">
        <x:v>2</x:v>
      </x:c>
      <x:c r="G4" t="str">
        <x:v>Doing</x:v>
      </x:c>
    </x:row>
    <x:row r="5" ht="15" hidden="0" customHeight="1">
      <x:c r="A5" t="n">
        <x:v>1004</x:v>
      </x:c>
      <x:c r="B5" t="str"/>
      <x:c r="C5" t="str">
        <x:v>Epic</x:v>
      </x:c>
      <x:c r="D5" t="str">
        <x:v>Improve visibility of reporting delivery work</x:v>
      </x:c>
      <x:c r="E5" t="str"/>
      <x:c r="F5" t="n">
        <x:v>1</x:v>
      </x:c>
      <x:c r="G5" t="str">
        <x:v>Doing</x:v>
      </x:c>
    </x:row>
    <x:row r="6" ht="15" hidden="0" customHeight="1">
      <x:c r="A6" t="n">
        <x:v>1005</x:v>
      </x:c>
      <x:c r="B6" t="n">
        <x:v>1004</x:v>
      </x:c>
      <x:c r="C6" t="str">
        <x:v>Feature</x:v>
      </x:c>
      <x:c r="D6" t="str">
        <x:v>Sprint board for analyst reporting changes</x:v>
      </x:c>
      <x:c r="E6" t="str">
        <x:v>Improve visibility of reporting delivery work</x:v>
      </x:c>
      <x:c r="F6" t="n">
        <x:v>2</x:v>
      </x:c>
      <x:c r="G6" t="str">
        <x:v>Doing</x:v>
      </x:c>
    </x:row>
    <x:row r="7" ht="15" hidden="0" customHeight="1">
      <x:c r="A7" t="n">
        <x:v>1006</x:v>
      </x:c>
      <x:c r="B7" t="n">
        <x:v>1002</x:v>
      </x:c>
      <x:c r="C7" t="str">
        <x:v>User Story</x:v>
      </x:c>
      <x:c r="D7" t="str">
        <x:v>Add monthly incident trend page</x:v>
      </x:c>
      <x:c r="E7" t="str">
        <x:v>Core operational reporting pack</x:v>
      </x:c>
      <x:c r="F7" t="n">
        <x:v>3</x:v>
      </x:c>
      <x:c r="G7" t="str">
        <x:v>Doing</x:v>
      </x:c>
    </x:row>
    <x:row r="8" ht="15" hidden="0" customHeight="1">
      <x:c r="A8" t="n">
        <x:v>1007</x:v>
      </x:c>
      <x:c r="B8" t="n">
        <x:v>1006</x:v>
      </x:c>
      <x:c r="C8" t="str">
        <x:v>Task</x:v>
      </x:c>
      <x:c r="D8" t="str">
        <x:v>Create line chart for incident trend</x:v>
      </x:c>
      <x:c r="E8" t="str">
        <x:v>Add monthly incident trend page</x:v>
      </x:c>
      <x:c r="F8" t="n">
        <x:v>4</x:v>
      </x:c>
      <x:c r="G8" t="str">
        <x:v>Done</x:v>
      </x:c>
    </x:row>
    <x:row r="9" ht="15" hidden="0" customHeight="1">
      <x:c r="A9" t="n">
        <x:v>1008</x:v>
      </x:c>
      <x:c r="B9" t="n">
        <x:v>1006</x:v>
      </x:c>
      <x:c r="C9" t="str">
        <x:v>Task</x:v>
      </x:c>
      <x:c r="D9" t="str">
        <x:v>Add month and district slicers</x:v>
      </x:c>
      <x:c r="E9" t="str">
        <x:v>Add monthly incident trend page</x:v>
      </x:c>
      <x:c r="F9" t="n">
        <x:v>4</x:v>
      </x:c>
      <x:c r="G9" t="str">
        <x:v>Doing</x:v>
      </x:c>
    </x:row>
    <x:row r="10" ht="15" hidden="0" customHeight="1">
      <x:c r="A10" t="n">
        <x:v>1009</x:v>
      </x:c>
      <x:c r="B10" t="n">
        <x:v>1006</x:v>
      </x:c>
      <x:c r="C10" t="str">
        <x:v>Task</x:v>
      </x:c>
      <x:c r="D10" t="str">
        <x:v>Validate totals against semantic model</x:v>
      </x:c>
      <x:c r="E10" t="str">
        <x:v>Add monthly incident trend page</x:v>
      </x:c>
      <x:c r="F10" t="n">
        <x:v>4</x:v>
      </x:c>
      <x:c r="G10" t="str">
        <x:v>Review</x:v>
      </x:c>
    </x:row>
    <x:row r="11" ht="15" hidden="0" customHeight="1">
      <x:c r="A11" t="n">
        <x:v>1010</x:v>
      </x:c>
      <x:c r="B11" t="n">
        <x:v>1002</x:v>
      </x:c>
      <x:c r="C11" t="str">
        <x:v>User Story</x:v>
      </x:c>
      <x:c r="D11" t="str">
        <x:v>Refresh officer availability dashboard layout</x:v>
      </x:c>
      <x:c r="E11" t="str">
        <x:v>Core operational reporting pack</x:v>
      </x:c>
      <x:c r="F11" t="n">
        <x:v>3</x:v>
      </x:c>
      <x:c r="G11" t="str">
        <x:v>Review</x:v>
      </x:c>
    </x:row>
    <x:row r="12" ht="15" hidden="0" customHeight="1">
      <x:c r="A12" t="n">
        <x:v>1011</x:v>
      </x:c>
      <x:c r="B12" t="n">
        <x:v>1010</x:v>
      </x:c>
      <x:c r="C12" t="str">
        <x:v>Task</x:v>
      </x:c>
      <x:c r="D12" t="str">
        <x:v>Update KPI cards</x:v>
      </x:c>
      <x:c r="E12" t="str">
        <x:v>Refresh officer availability dashboard layout</x:v>
      </x:c>
      <x:c r="F12" t="n">
        <x:v>4</x:v>
      </x:c>
      <x:c r="G12" t="str">
        <x:v>Doing</x:v>
      </x:c>
    </x:row>
    <x:row r="13" ht="15" hidden="0" customHeight="1">
      <x:c r="A13" t="n">
        <x:v>1012</x:v>
      </x:c>
      <x:c r="B13" t="n">
        <x:v>1010</x:v>
      </x:c>
      <x:c r="C13" t="str">
        <x:v>Task</x:v>
      </x:c>
      <x:c r="D13" t="str">
        <x:v>Align availability visuals</x:v>
      </x:c>
      <x:c r="E13" t="str">
        <x:v>Refresh officer availability dashboard layout</x:v>
      </x:c>
      <x:c r="F13" t="n">
        <x:v>4</x:v>
      </x:c>
      <x:c r="G13" t="str">
        <x:v>Review</x:v>
      </x:c>
    </x:row>
    <x:row r="14" ht="15" hidden="0" customHeight="1">
      <x:c r="A14" t="n">
        <x:v>1013</x:v>
      </x:c>
      <x:c r="B14" t="n">
        <x:v>1010</x:v>
      </x:c>
      <x:c r="C14" t="str">
        <x:v>Task</x:v>
      </x:c>
      <x:c r="D14" t="str">
        <x:v>Check filters with SME</x:v>
      </x:c>
      <x:c r="E14" t="str">
        <x:v>Refresh officer availability dashboard layout</x:v>
      </x:c>
      <x:c r="F14" t="n">
        <x:v>4</x:v>
      </x:c>
      <x:c r="G14" t="str">
        <x:v>To Do</x:v>
      </x:c>
    </x:row>
    <x:row r="15" ht="15" hidden="0" customHeight="1">
      <x:c r="A15" t="n">
        <x:v>1014</x:v>
      </x:c>
      <x:c r="B15" t="n">
        <x:v>1002</x:v>
      </x:c>
      <x:c r="C15" t="str">
        <x:v>User Story</x:v>
      </x:c>
      <x:c r="D15" t="str">
        <x:v>Create custody performance summary page</x:v>
      </x:c>
      <x:c r="E15" t="str">
        <x:v>Core operational reporting pack</x:v>
      </x:c>
      <x:c r="F15" t="n">
        <x:v>3</x:v>
      </x:c>
      <x:c r="G15" t="str">
        <x:v>Done</x:v>
      </x:c>
    </x:row>
    <x:row r="16" ht="15" hidden="0" customHeight="1">
      <x:c r="A16" t="n">
        <x:v>1015</x:v>
      </x:c>
      <x:c r="B16" t="n">
        <x:v>1014</x:v>
      </x:c>
      <x:c r="C16" t="str">
        <x:v>Task</x:v>
      </x:c>
      <x:c r="D16" t="str">
        <x:v>Add custody throughput chart</x:v>
      </x:c>
      <x:c r="E16" t="str">
        <x:v>Create custody performance summary page</x:v>
      </x:c>
      <x:c r="F16" t="n">
        <x:v>4</x:v>
      </x:c>
      <x:c r="G16" t="str">
        <x:v>Review</x:v>
      </x:c>
    </x:row>
    <x:row r="17" ht="15" hidden="0" customHeight="1">
      <x:c r="A17" t="n">
        <x:v>1016</x:v>
      </x:c>
      <x:c r="B17" t="n">
        <x:v>1014</x:v>
      </x:c>
      <x:c r="C17" t="str">
        <x:v>Task</x:v>
      </x:c>
      <x:c r="D17" t="str">
        <x:v>Create status breakdown visual</x:v>
      </x:c>
      <x:c r="E17" t="str">
        <x:v>Create custody performance summary page</x:v>
      </x:c>
      <x:c r="F17" t="n">
        <x:v>4</x:v>
      </x:c>
      <x:c r="G17" t="str">
        <x:v>To Do</x:v>
      </x:c>
    </x:row>
    <x:row r="18" ht="15" hidden="0" customHeight="1">
      <x:c r="A18" t="n">
        <x:v>1017</x:v>
      </x:c>
      <x:c r="B18" t="n">
        <x:v>1014</x:v>
      </x:c>
      <x:c r="C18" t="str">
        <x:v>Task</x:v>
      </x:c>
      <x:c r="D18" t="str">
        <x:v>Validate against agreed totals</x:v>
      </x:c>
      <x:c r="E18" t="str">
        <x:v>Create custody performance summary page</x:v>
      </x:c>
      <x:c r="F18" t="n">
        <x:v>4</x:v>
      </x:c>
      <x:c r="G18" t="str">
        <x:v>Done</x:v>
      </x:c>
    </x:row>
    <x:row r="19" ht="15" hidden="0" customHeight="1">
      <x:c r="A19" t="n">
        <x:v>1018</x:v>
      </x:c>
      <x:c r="B19" t="n">
        <x:v>1002</x:v>
      </x:c>
      <x:c r="C19" t="str">
        <x:v>User Story</x:v>
      </x:c>
      <x:c r="D19" t="str">
        <x:v>Build victim services overview page</x:v>
      </x:c>
      <x:c r="E19" t="str">
        <x:v>Core operational reporting pack</x:v>
      </x:c>
      <x:c r="F19" t="n">
        <x:v>3</x:v>
      </x:c>
      <x:c r="G19" t="str">
        <x:v>To Do</x:v>
      </x:c>
    </x:row>
    <x:row r="20" ht="15" hidden="0" customHeight="1">
      <x:c r="A20" t="n">
        <x:v>1019</x:v>
      </x:c>
      <x:c r="B20" t="n">
        <x:v>1018</x:v>
      </x:c>
      <x:c r="C20" t="str">
        <x:v>Task</x:v>
      </x:c>
      <x:c r="D20" t="str">
        <x:v>Add referral trend visual</x:v>
      </x:c>
      <x:c r="E20" t="str">
        <x:v>Build victim services overview page</x:v>
      </x:c>
      <x:c r="F20" t="n">
        <x:v>4</x:v>
      </x:c>
      <x:c r="G20" t="str">
        <x:v>To Do</x:v>
      </x:c>
    </x:row>
    <x:row r="21" ht="15" hidden="0" customHeight="1">
      <x:c r="A21" t="n">
        <x:v>1020</x:v>
      </x:c>
      <x:c r="B21" t="n">
        <x:v>1018</x:v>
      </x:c>
      <x:c r="C21" t="str">
        <x:v>Task</x:v>
      </x:c>
      <x:c r="D21" t="str">
        <x:v>Add service type slicer</x:v>
      </x:c>
      <x:c r="E21" t="str">
        <x:v>Build victim services overview page</x:v>
      </x:c>
      <x:c r="F21" t="n">
        <x:v>4</x:v>
      </x:c>
      <x:c r="G21" t="str">
        <x:v>Done</x:v>
      </x:c>
    </x:row>
    <x:row r="22" ht="15" hidden="0" customHeight="1">
      <x:c r="A22" t="n">
        <x:v>1021</x:v>
      </x:c>
      <x:c r="B22" t="n">
        <x:v>1018</x:v>
      </x:c>
      <x:c r="C22" t="str">
        <x:v>Task</x:v>
      </x:c>
      <x:c r="D22" t="str">
        <x:v>Review page layout</x:v>
      </x:c>
      <x:c r="E22" t="str">
        <x:v>Build victim services overview page</x:v>
      </x:c>
      <x:c r="F22" t="n">
        <x:v>4</x:v>
      </x:c>
      <x:c r="G22" t="str">
        <x:v>Doing</x:v>
      </x:c>
    </x:row>
    <x:row r="23" ht="15" hidden="0" customHeight="1">
      <x:c r="A23" t="n">
        <x:v>1022</x:v>
      </x:c>
      <x:c r="B23" t="n">
        <x:v>1002</x:v>
      </x:c>
      <x:c r="C23" t="str">
        <x:v>User Story</x:v>
      </x:c>
      <x:c r="D23" t="str">
        <x:v>Create stop and search summary visuals</x:v>
      </x:c>
      <x:c r="E23" t="str">
        <x:v>Core operational reporting pack</x:v>
      </x:c>
      <x:c r="F23" t="n">
        <x:v>3</x:v>
      </x:c>
      <x:c r="G23" t="str">
        <x:v>Doing</x:v>
      </x:c>
    </x:row>
    <x:row r="24" ht="15" hidden="0" customHeight="1">
      <x:c r="A24" t="n">
        <x:v>1023</x:v>
      </x:c>
      <x:c r="B24" t="n">
        <x:v>1022</x:v>
      </x:c>
      <x:c r="C24" t="str">
        <x:v>Task</x:v>
      </x:c>
      <x:c r="D24" t="str">
        <x:v>Add summary matrix</x:v>
      </x:c>
      <x:c r="E24" t="str">
        <x:v>Create stop and search summary visuals</x:v>
      </x:c>
      <x:c r="F24" t="n">
        <x:v>4</x:v>
      </x:c>
      <x:c r="G24" t="str">
        <x:v>Done</x:v>
      </x:c>
    </x:row>
    <x:row r="25" ht="15" hidden="0" customHeight="1">
      <x:c r="A25" t="n">
        <x:v>1024</x:v>
      </x:c>
      <x:c r="B25" t="n">
        <x:v>1022</x:v>
      </x:c>
      <x:c r="C25" t="str">
        <x:v>Task</x:v>
      </x:c>
      <x:c r="D25" t="str">
        <x:v>Create monthly comparison chart</x:v>
      </x:c>
      <x:c r="E25" t="str">
        <x:v>Create stop and search summary visuals</x:v>
      </x:c>
      <x:c r="F25" t="n">
        <x:v>4</x:v>
      </x:c>
      <x:c r="G25" t="str">
        <x:v>Doing</x:v>
      </x:c>
    </x:row>
    <x:row r="26" ht="15" hidden="0" customHeight="1">
      <x:c r="A26" t="n">
        <x:v>1025</x:v>
      </x:c>
      <x:c r="B26" t="n">
        <x:v>1022</x:v>
      </x:c>
      <x:c r="C26" t="str">
        <x:v>Task</x:v>
      </x:c>
      <x:c r="D26" t="str">
        <x:v>Check labels and titles</x:v>
      </x:c>
      <x:c r="E26" t="str">
        <x:v>Create stop and search summary visuals</x:v>
      </x:c>
      <x:c r="F26" t="n">
        <x:v>4</x:v>
      </x:c>
      <x:c r="G26" t="str">
        <x:v>Review</x:v>
      </x:c>
    </x:row>
    <x:row r="27" ht="15" hidden="0" customHeight="1">
      <x:c r="A27" t="n">
        <x:v>1026</x:v>
      </x:c>
      <x:c r="B27" t="n">
        <x:v>1002</x:v>
      </x:c>
      <x:c r="C27" t="str">
        <x:v>User Story</x:v>
      </x:c>
      <x:c r="D27" t="str">
        <x:v>Update operational demand dashboard filters</x:v>
      </x:c>
      <x:c r="E27" t="str">
        <x:v>Core operational reporting pack</x:v>
      </x:c>
      <x:c r="F27" t="n">
        <x:v>3</x:v>
      </x:c>
      <x:c r="G27" t="str">
        <x:v>Review</x:v>
      </x:c>
    </x:row>
    <x:row r="28" ht="15" hidden="0" customHeight="1">
      <x:c r="A28" t="n">
        <x:v>1027</x:v>
      </x:c>
      <x:c r="B28" t="n">
        <x:v>1026</x:v>
      </x:c>
      <x:c r="C28" t="str">
        <x:v>Task</x:v>
      </x:c>
      <x:c r="D28" t="str">
        <x:v>Add report-level filters</x:v>
      </x:c>
      <x:c r="E28" t="str">
        <x:v>Update operational demand dashboard filters</x:v>
      </x:c>
      <x:c r="F28" t="n">
        <x:v>4</x:v>
      </x:c>
      <x:c r="G28" t="str">
        <x:v>Doing</x:v>
      </x:c>
    </x:row>
    <x:row r="29" ht="15" hidden="0" customHeight="1">
      <x:c r="A29" t="n">
        <x:v>1028</x:v>
      </x:c>
      <x:c r="B29" t="n">
        <x:v>1026</x:v>
      </x:c>
      <x:c r="C29" t="str">
        <x:v>Task</x:v>
      </x:c>
      <x:c r="D29" t="str">
        <x:v>Test filter interactions</x:v>
      </x:c>
      <x:c r="E29" t="str">
        <x:v>Update operational demand dashboard filters</x:v>
      </x:c>
      <x:c r="F29" t="n">
        <x:v>4</x:v>
      </x:c>
      <x:c r="G29" t="str">
        <x:v>Review</x:v>
      </x:c>
    </x:row>
    <x:row r="30" ht="15" hidden="0" customHeight="1">
      <x:c r="A30" t="n">
        <x:v>1029</x:v>
      </x:c>
      <x:c r="B30" t="n">
        <x:v>1026</x:v>
      </x:c>
      <x:c r="C30" t="str">
        <x:v>Task</x:v>
      </x:c>
      <x:c r="D30" t="str">
        <x:v>Save version before publishing</x:v>
      </x:c>
      <x:c r="E30" t="str">
        <x:v>Update operational demand dashboard filters</x:v>
      </x:c>
      <x:c r="F30" t="n">
        <x:v>4</x:v>
      </x:c>
      <x:c r="G30" t="str">
        <x:v>To Do</x:v>
      </x:c>
    </x:row>
    <x:row r="31" ht="15" hidden="0" customHeight="1">
      <x:c r="A31" t="n">
        <x:v>1030</x:v>
      </x:c>
      <x:c r="B31" t="n">
        <x:v>1003</x:v>
      </x:c>
      <x:c r="C31" t="str">
        <x:v>User Story</x:v>
      </x:c>
      <x:c r="D31" t="str">
        <x:v>Define report publishing checklist</x:v>
      </x:c>
      <x:c r="E31" t="str">
        <x:v>Report validation and publishing process</x:v>
      </x:c>
      <x:c r="F31" t="n">
        <x:v>3</x:v>
      </x:c>
      <x:c r="G31" t="str">
        <x:v>Done</x:v>
      </x:c>
    </x:row>
    <x:row r="32" ht="15" hidden="0" customHeight="1">
      <x:c r="A32" t="n">
        <x:v>1031</x:v>
      </x:c>
      <x:c r="B32" t="n">
        <x:v>1030</x:v>
      </x:c>
      <x:c r="C32" t="str">
        <x:v>Task</x:v>
      </x:c>
      <x:c r="D32" t="str">
        <x:v>Draft checklist</x:v>
      </x:c>
      <x:c r="E32" t="str">
        <x:v>Define report publishing checklist</x:v>
      </x:c>
      <x:c r="F32" t="n">
        <x:v>4</x:v>
      </x:c>
      <x:c r="G32" t="str">
        <x:v>Review</x:v>
      </x:c>
    </x:row>
    <x:row r="33" ht="15" hidden="0" customHeight="1">
      <x:c r="A33" t="n">
        <x:v>1032</x:v>
      </x:c>
      <x:c r="B33" t="n">
        <x:v>1030</x:v>
      </x:c>
      <x:c r="C33" t="str">
        <x:v>Task</x:v>
      </x:c>
      <x:c r="D33" t="str">
        <x:v>Review with reporting team</x:v>
      </x:c>
      <x:c r="E33" t="str">
        <x:v>Define report publishing checklist</x:v>
      </x:c>
      <x:c r="F33" t="n">
        <x:v>4</x:v>
      </x:c>
      <x:c r="G33" t="str">
        <x:v>To Do</x:v>
      </x:c>
    </x:row>
    <x:row r="34" ht="15" hidden="0" customHeight="1">
      <x:c r="A34" t="n">
        <x:v>1033</x:v>
      </x:c>
      <x:c r="B34" t="n">
        <x:v>1030</x:v>
      </x:c>
      <x:c r="C34" t="str">
        <x:v>Task</x:v>
      </x:c>
      <x:c r="D34" t="str">
        <x:v>Publish checklist in shared location</x:v>
      </x:c>
      <x:c r="E34" t="str">
        <x:v>Define report publishing checklist</x:v>
      </x:c>
      <x:c r="F34" t="n">
        <x:v>4</x:v>
      </x:c>
      <x:c r="G34" t="str">
        <x:v>Done</x:v>
      </x:c>
    </x:row>
    <x:row r="35" ht="15" hidden="0" customHeight="1">
      <x:c r="A35" t="n">
        <x:v>1034</x:v>
      </x:c>
      <x:c r="B35" t="n">
        <x:v>1003</x:v>
      </x:c>
      <x:c r="C35" t="str">
        <x:v>User Story</x:v>
      </x:c>
      <x:c r="D35" t="str">
        <x:v>Add version history note for report updates</x:v>
      </x:c>
      <x:c r="E35" t="str">
        <x:v>Report validation and publishing process</x:v>
      </x:c>
      <x:c r="F35" t="n">
        <x:v>3</x:v>
      </x:c>
      <x:c r="G35" t="str">
        <x:v>To Do</x:v>
      </x:c>
    </x:row>
    <x:row r="36" ht="15" hidden="0" customHeight="1">
      <x:c r="A36" t="n">
        <x:v>1035</x:v>
      </x:c>
      <x:c r="B36" t="n">
        <x:v>1034</x:v>
      </x:c>
      <x:c r="C36" t="str">
        <x:v>Task</x:v>
      </x:c>
      <x:c r="D36" t="str">
        <x:v>Add change note template</x:v>
      </x:c>
      <x:c r="E36" t="str">
        <x:v>Add version history note for report updates</x:v>
      </x:c>
      <x:c r="F36" t="n">
        <x:v>4</x:v>
      </x:c>
      <x:c r="G36" t="str">
        <x:v>To Do</x:v>
      </x:c>
    </x:row>
    <x:row r="37" ht="15" hidden="0" customHeight="1">
      <x:c r="A37" t="n">
        <x:v>1036</x:v>
      </x:c>
      <x:c r="B37" t="n">
        <x:v>1034</x:v>
      </x:c>
      <x:c r="C37" t="str">
        <x:v>Task</x:v>
      </x:c>
      <x:c r="D37" t="str">
        <x:v>Update sample report description</x:v>
      </x:c>
      <x:c r="E37" t="str">
        <x:v>Add version history note for report updates</x:v>
      </x:c>
      <x:c r="F37" t="n">
        <x:v>4</x:v>
      </x:c>
      <x:c r="G37" t="str">
        <x:v>Done</x:v>
      </x:c>
    </x:row>
    <x:row r="38" ht="15" hidden="0" customHeight="1">
      <x:c r="A38" t="n">
        <x:v>1037</x:v>
      </x:c>
      <x:c r="B38" t="n">
        <x:v>1034</x:v>
      </x:c>
      <x:c r="C38" t="str">
        <x:v>Task</x:v>
      </x:c>
      <x:c r="D38" t="str">
        <x:v>Confirm save process</x:v>
      </x:c>
      <x:c r="E38" t="str">
        <x:v>Add version history note for report updates</x:v>
      </x:c>
      <x:c r="F38" t="n">
        <x:v>4</x:v>
      </x:c>
      <x:c r="G38" t="str">
        <x:v>Doing</x:v>
      </x:c>
    </x:row>
    <x:row r="39" ht="15" hidden="0" customHeight="1">
      <x:c r="A39" t="n">
        <x:v>1038</x:v>
      </x:c>
      <x:c r="B39" t="n">
        <x:v>1005</x:v>
      </x:c>
      <x:c r="C39" t="str">
        <x:v>User Story</x:v>
      </x:c>
      <x:c r="D39" t="str">
        <x:v>Prepare current sprint board for reporting demo</x:v>
      </x:c>
      <x:c r="E39" t="str">
        <x:v>Sprint board for analyst reporting changes</x:v>
      </x:c>
      <x:c r="F39" t="n">
        <x:v>3</x:v>
      </x:c>
      <x:c r="G39" t="str">
        <x:v>Doing</x:v>
      </x:c>
    </x:row>
    <x:row r="40" ht="15" hidden="0" customHeight="1">
      <x:c r="A40" t="n">
        <x:v>1039</x:v>
      </x:c>
      <x:c r="B40" t="n">
        <x:v>1038</x:v>
      </x:c>
      <x:c r="C40" t="str">
        <x:v>Task</x:v>
      </x:c>
      <x:c r="D40" t="str">
        <x:v>Create epics and features</x:v>
      </x:c>
      <x:c r="E40" t="str">
        <x:v>Prepare current sprint board for reporting demo</x:v>
      </x:c>
      <x:c r="F40" t="n">
        <x:v>4</x:v>
      </x:c>
      <x:c r="G40" t="str">
        <x:v>Done</x:v>
      </x:c>
    </x:row>
    <x:row r="41" ht="15" hidden="0" customHeight="1">
      <x:c r="A41" t="n">
        <x:v>1040</x:v>
      </x:c>
      <x:c r="B41" t="n">
        <x:v>1038</x:v>
      </x:c>
      <x:c r="C41" t="str">
        <x:v>Task</x:v>
      </x:c>
      <x:c r="D41" t="str">
        <x:v>Create user stories</x:v>
      </x:c>
      <x:c r="E41" t="str">
        <x:v>Prepare current sprint board for reporting demo</x:v>
      </x:c>
      <x:c r="F41" t="n">
        <x:v>4</x:v>
      </x:c>
      <x:c r="G41" t="str">
        <x:v>Doing</x:v>
      </x:c>
    </x:row>
    <x:row r="42" ht="15" hidden="0" customHeight="1">
      <x:c r="A42" t="n">
        <x:v>1041</x:v>
      </x:c>
      <x:c r="B42" t="n">
        <x:v>1038</x:v>
      </x:c>
      <x:c r="C42" t="str">
        <x:v>Task</x:v>
      </x:c>
      <x:c r="D42" t="str">
        <x:v>Add tasks and bugs</x:v>
      </x:c>
      <x:c r="E42" t="str">
        <x:v>Prepare current sprint board for reporting demo</x:v>
      </x:c>
      <x:c r="F42" t="n">
        <x:v>4</x:v>
      </x:c>
      <x:c r="G42" t="str">
        <x:v>Review</x:v>
      </x:c>
    </x:row>
    <x:row r="43" ht="15" hidden="0" customHeight="1">
      <x:c r="A43" t="n">
        <x:v>1042</x:v>
      </x:c>
      <x:c r="B43" t="n">
        <x:v>1005</x:v>
      </x:c>
      <x:c r="C43" t="str">
        <x:v>User Story</x:v>
      </x:c>
      <x:c r="D43" t="str">
        <x:v>Create sample burndown and status report</x:v>
      </x:c>
      <x:c r="E43" t="str">
        <x:v>Sprint board for analyst reporting changes</x:v>
      </x:c>
      <x:c r="F43" t="n">
        <x:v>3</x:v>
      </x:c>
      <x:c r="G43" t="str">
        <x:v>Review</x:v>
      </x:c>
    </x:row>
    <x:row r="44" ht="15" hidden="0" customHeight="1">
      <x:c r="A44" t="n">
        <x:v>1043</x:v>
      </x:c>
      <x:c r="B44" t="n">
        <x:v>1042</x:v>
      </x:c>
      <x:c r="C44" t="str">
        <x:v>Task</x:v>
      </x:c>
      <x:c r="D44" t="str">
        <x:v>Prepare summary dataset</x:v>
      </x:c>
      <x:c r="E44" t="str">
        <x:v>Create sample burndown and status report</x:v>
      </x:c>
      <x:c r="F44" t="n">
        <x:v>4</x:v>
      </x:c>
      <x:c r="G44" t="str">
        <x:v>Doing</x:v>
      </x:c>
    </x:row>
    <x:row r="45" ht="15" hidden="0" customHeight="1">
      <x:c r="A45" t="n">
        <x:v>1044</x:v>
      </x:c>
      <x:c r="B45" t="n">
        <x:v>1042</x:v>
      </x:c>
      <x:c r="C45" t="str">
        <x:v>Task</x:v>
      </x:c>
      <x:c r="D45" t="str">
        <x:v>Create status measures</x:v>
      </x:c>
      <x:c r="E45" t="str">
        <x:v>Create sample burndown and status report</x:v>
      </x:c>
      <x:c r="F45" t="n">
        <x:v>4</x:v>
      </x:c>
      <x:c r="G45" t="str">
        <x:v>Review</x:v>
      </x:c>
    </x:row>
    <x:row r="46" ht="15" hidden="0" customHeight="1">
      <x:c r="A46" t="n">
        <x:v>1045</x:v>
      </x:c>
      <x:c r="B46" t="n">
        <x:v>1042</x:v>
      </x:c>
      <x:c r="C46" t="str">
        <x:v>Task</x:v>
      </x:c>
      <x:c r="D46" t="str">
        <x:v>Build sample visuals</x:v>
      </x:c>
      <x:c r="E46" t="str">
        <x:v>Create sample burndown and status report</x:v>
      </x:c>
      <x:c r="F46" t="n">
        <x:v>4</x:v>
      </x:c>
      <x:c r="G46" t="str">
        <x:v>To Do</x:v>
      </x:c>
    </x:row>
    <x:row r="47" ht="15" hidden="0" customHeight="1">
      <x:c r="A47" t="n">
        <x:v>1046</x:v>
      </x:c>
      <x:c r="B47" t="n">
        <x:v>1005</x:v>
      </x:c>
      <x:c r="C47" t="str">
        <x:v>User Story</x:v>
      </x:c>
      <x:c r="D47" t="str">
        <x:v>Create report readiness view</x:v>
      </x:c>
      <x:c r="E47" t="str">
        <x:v>Sprint board for analyst reporting changes</x:v>
      </x:c>
      <x:c r="F47" t="n">
        <x:v>3</x:v>
      </x:c>
      <x:c r="G47" t="str">
        <x:v>Done</x:v>
      </x:c>
    </x:row>
    <x:row r="48" ht="15" hidden="0" customHeight="1">
      <x:c r="A48" t="n">
        <x:v>1047</x:v>
      </x:c>
      <x:c r="B48" t="n">
        <x:v>1046</x:v>
      </x:c>
      <x:c r="C48" t="str">
        <x:v>Task</x:v>
      </x:c>
      <x:c r="D48" t="str">
        <x:v>Add status grouping</x:v>
      </x:c>
      <x:c r="E48" t="str">
        <x:v>Create report readiness view</x:v>
      </x:c>
      <x:c r="F48" t="n">
        <x:v>4</x:v>
      </x:c>
      <x:c r="G48" t="str">
        <x:v>Review</x:v>
      </x:c>
    </x:row>
    <x:row r="49" ht="15" hidden="0" customHeight="1">
      <x:c r="A49" t="n">
        <x:v>1048</x:v>
      </x:c>
      <x:c r="B49" t="n">
        <x:v>1046</x:v>
      </x:c>
      <x:c r="C49" t="str">
        <x:v>Task</x:v>
      </x:c>
      <x:c r="D49" t="str">
        <x:v>Add owner summary</x:v>
      </x:c>
      <x:c r="E49" t="str">
        <x:v>Create report readiness view</x:v>
      </x:c>
      <x:c r="F49" t="n">
        <x:v>4</x:v>
      </x:c>
      <x:c r="G49" t="str">
        <x:v>To Do</x:v>
      </x:c>
    </x:row>
    <x:row r="50" ht="15" hidden="0" customHeight="1">
      <x:c r="A50" t="n">
        <x:v>1049</x:v>
      </x:c>
      <x:c r="B50" t="n">
        <x:v>1046</x:v>
      </x:c>
      <x:c r="C50" t="str">
        <x:v>Task</x:v>
      </x:c>
      <x:c r="D50" t="str">
        <x:v>Add priority summary</x:v>
      </x:c>
      <x:c r="E50" t="str">
        <x:v>Create report readiness view</x:v>
      </x:c>
      <x:c r="F50" t="n">
        <x:v>4</x:v>
      </x:c>
      <x:c r="G50" t="str">
        <x:v>Done</x:v>
      </x:c>
    </x:row>
    <x:row r="51" ht="15" hidden="0" customHeight="1">
      <x:c r="A51" t="n">
        <x:v>1050</x:v>
      </x:c>
      <x:c r="B51" t="n">
        <x:v>1003</x:v>
      </x:c>
      <x:c r="C51" t="str">
        <x:v>User Story</x:v>
      </x:c>
      <x:c r="D51" t="str">
        <x:v>Review published report access wording</x:v>
      </x:c>
      <x:c r="E51" t="str">
        <x:v>Report validation and publishing process</x:v>
      </x:c>
      <x:c r="F51" t="n">
        <x:v>3</x:v>
      </x:c>
      <x:c r="G51" t="str">
        <x:v>To Do</x:v>
      </x:c>
    </x:row>
    <x:row r="52" ht="15" hidden="0" customHeight="1">
      <x:c r="A52" t="n">
        <x:v>1051</x:v>
      </x:c>
      <x:c r="B52" t="n">
        <x:v>1050</x:v>
      </x:c>
      <x:c r="C52" t="str">
        <x:v>Task</x:v>
      </x:c>
      <x:c r="D52" t="str">
        <x:v>Check report descriptions</x:v>
      </x:c>
      <x:c r="E52" t="str">
        <x:v>Review published report access wording</x:v>
      </x:c>
      <x:c r="F52" t="n">
        <x:v>4</x:v>
      </x:c>
      <x:c r="G52" t="str">
        <x:v>To Do</x:v>
      </x:c>
    </x:row>
    <x:row r="53" ht="15" hidden="0" customHeight="1">
      <x:c r="A53" t="n">
        <x:v>1052</x:v>
      </x:c>
      <x:c r="B53" t="n">
        <x:v>1050</x:v>
      </x:c>
      <x:c r="C53" t="str">
        <x:v>Task</x:v>
      </x:c>
      <x:c r="D53" t="str">
        <x:v>Confirm navigation wording</x:v>
      </x:c>
      <x:c r="E53" t="str">
        <x:v>Review published report access wording</x:v>
      </x:c>
      <x:c r="F53" t="n">
        <x:v>4</x:v>
      </x:c>
      <x:c r="G53" t="str">
        <x:v>Done</x:v>
      </x:c>
    </x:row>
    <x:row r="54" ht="15" hidden="0" customHeight="1">
      <x:c r="A54" t="n">
        <x:v>1053</x:v>
      </x:c>
      <x:c r="B54" t="n">
        <x:v>1050</x:v>
      </x:c>
      <x:c r="C54" t="str">
        <x:v>Task</x:v>
      </x:c>
      <x:c r="D54" t="str">
        <x:v>Update notes where needed</x:v>
      </x:c>
      <x:c r="E54" t="str">
        <x:v>Review published report access wording</x:v>
      </x:c>
      <x:c r="F54" t="n">
        <x:v>4</x:v>
      </x:c>
      <x:c r="G54" t="str">
        <x:v>Doing</x:v>
      </x:c>
    </x:row>
    <x:row r="55" ht="15" hidden="0" customHeight="1">
      <x:c r="A55" t="n">
        <x:v>1054</x:v>
      </x:c>
      <x:c r="B55" t="n">
        <x:v>1002</x:v>
      </x:c>
      <x:c r="C55" t="str">
        <x:v>Bug</x:v>
      </x:c>
      <x:c r="D55" t="str">
        <x:v>Incident trend total does not match summary card</x:v>
      </x:c>
      <x:c r="E55" t="str">
        <x:v>Core operational reporting pack</x:v>
      </x:c>
      <x:c r="F55" t="n">
        <x:v>4</x:v>
      </x:c>
      <x:c r="G55" t="str">
        <x:v>Doing</x:v>
      </x:c>
    </x:row>
    <x:row r="56" ht="15" hidden="0" customHeight="1">
      <x:c r="A56" t="n">
        <x:v>1055</x:v>
      </x:c>
      <x:c r="B56" t="n">
        <x:v>1002</x:v>
      </x:c>
      <x:c r="C56" t="str">
        <x:v>Bug</x:v>
      </x:c>
      <x:c r="D56" t="str">
        <x:v>Officer availability slicer not clearing correctly</x:v>
      </x:c>
      <x:c r="E56" t="str">
        <x:v>Core operational reporting pack</x:v>
      </x:c>
      <x:c r="F56" t="n">
        <x:v>4</x:v>
      </x:c>
      <x:c r="G56" t="str">
        <x:v>Review</x:v>
      </x:c>
    </x:row>
    <x:row r="57" ht="15" hidden="0" customHeight="1">
      <x:c r="A57" t="n">
        <x:v>1056</x:v>
      </x:c>
      <x:c r="B57" t="n">
        <x:v>1002</x:v>
      </x:c>
      <x:c r="C57" t="str">
        <x:v>Bug</x:v>
      </x:c>
      <x:c r="D57" t="str">
        <x:v>Custody dashboard page title needs correction</x:v>
      </x:c>
      <x:c r="E57" t="str">
        <x:v>Core operational reporting pack</x:v>
      </x:c>
      <x:c r="F57" t="n">
        <x:v>4</x:v>
      </x:c>
      <x:c r="G57" t="str">
        <x:v>Done</x:v>
      </x:c>
    </x:row>
    <x:row r="58" ht="15" hidden="0" customHeight="1">
      <x:c r="A58" t="n">
        <x:v>1057</x:v>
      </x:c>
      <x:c r="B58" t="n">
        <x:v>1002</x:v>
      </x:c>
      <x:c r="C58" t="str">
        <x:v>Bug</x:v>
      </x:c>
      <x:c r="D58" t="str">
        <x:v>Victim services visual label overlaps on small screen</x:v>
      </x:c>
      <x:c r="E58" t="str">
        <x:v>Core operational reporting pack</x:v>
      </x:c>
      <x:c r="F58" t="n">
        <x:v>4</x:v>
      </x:c>
      <x:c r="G58" t="str">
        <x:v>To Do</x:v>
      </x:c>
    </x:row>
    <x:row r="59" ht="15" hidden="0" customHeight="1">
      <x:c r="A59" t="n">
        <x:v>1058</x:v>
      </x:c>
      <x:c r="B59" t="n">
        <x:v>1002</x:v>
      </x:c>
      <x:c r="C59" t="str">
        <x:v>Bug</x:v>
      </x:c>
      <x:c r="D59" t="str">
        <x:v>Stop and search monthly filter showing blank value</x:v>
      </x:c>
      <x:c r="E59" t="str">
        <x:v>Core operational reporting pack</x:v>
      </x:c>
      <x:c r="F59" t="n">
        <x:v>4</x:v>
      </x:c>
      <x:c r="G59" t="str">
        <x:v>Doing</x:v>
      </x:c>
    </x:row>
    <x:row r="60" ht="15" hidden="0" customHeight="1">
      <x:c r="A60" t="n">
        <x:v>1059</x:v>
      </x:c>
      <x:c r="B60" t="n">
        <x:v>1003</x:v>
      </x:c>
      <x:c r="C60" t="str">
        <x:v>Bug</x:v>
      </x:c>
      <x:c r="D60" t="str">
        <x:v>Publishing checklist link missing from report notes</x:v>
      </x:c>
      <x:c r="E60" t="str">
        <x:v>Report validation and publishing process</x:v>
      </x:c>
      <x:c r="F60" t="n">
        <x:v>4</x:v>
      </x:c>
      <x:c r="G60" t="str">
        <x:v>Review</x:v>
      </x:c>
    </x:row>
    <x:row r="61" ht="15" hidden="0" customHeight="1">
      <x:c r="A61" t="n">
        <x:v>1060</x:v>
      </x:c>
      <x:c r="B61" t="n">
        <x:v>1005</x:v>
      </x:c>
      <x:c r="C61" t="str">
        <x:v>Bug</x:v>
      </x:c>
      <x:c r="D61" t="str">
        <x:v>Sprint summary status count not refreshing</x:v>
      </x:c>
      <x:c r="E61" t="str">
        <x:v>Sprint board for analyst reporting changes</x:v>
      </x:c>
      <x:c r="F61" t="n">
        <x:v>4</x:v>
      </x:c>
      <x:c r="G61" t="str">
        <x:v>Done</x:v>
      </x:c>
    </x:row>
    <x:row r="62" ht="15" hidden="0" customHeight="1">
      <x:c r="A62" t="n">
        <x:v>1061</x:v>
      </x:c>
      <x:c r="B62" t="n">
        <x:v>1005</x:v>
      </x:c>
      <x:c r="C62" t="str">
        <x:v>Bug</x:v>
      </x:c>
      <x:c r="D62" t="str">
        <x:v>Report readiness visual missing closed items</x:v>
      </x:c>
      <x:c r="E62" t="str">
        <x:v>Sprint board for analyst reporting changes</x:v>
      </x:c>
      <x:c r="F62" t="n">
        <x:v>4</x:v>
      </x:c>
      <x:c r="G62" t="str">
        <x:v>To Do</x:v>
      </x:c>
    </x:row>
    <x:row r="63" ht="15" hidden="0" customHeight="1">
      <x:c r="A63" t="n">
        <x:v>1062</x:v>
      </x:c>
      <x:c r="B63" t="n">
        <x:v>1004</x:v>
      </x:c>
      <x:c r="C63" t="str">
        <x:v>Feature</x:v>
      </x:c>
      <x:c r="D63" t="str">
        <x:v>Future reporting enhancements backlog</x:v>
      </x:c>
      <x:c r="E63" t="str">
        <x:v>Improve visibility of reporting delivery work</x:v>
      </x:c>
      <x:c r="F63" t="n">
        <x:v>2</x:v>
      </x:c>
      <x:c r="G63" t="str">
        <x:v>To Do</x:v>
      </x:c>
    </x:row>
    <x:row r="64" ht="15" hidden="0" customHeight="1">
      <x:c r="A64" t="n">
        <x:v>1063</x:v>
      </x:c>
      <x:c r="B64" t="n">
        <x:v>1062</x:v>
      </x:c>
      <x:c r="C64" t="str">
        <x:v>User Story</x:v>
      </x:c>
      <x:c r="D64" t="str">
        <x:v>Add export-friendly page for monthly pack</x:v>
      </x:c>
      <x:c r="E64" t="str">
        <x:v>Future reporting enhancements backlog</x:v>
      </x:c>
      <x:c r="F64" t="n">
        <x:v>3</x:v>
      </x:c>
      <x:c r="G64" t="str">
        <x:v>To Do</x:v>
      </x:c>
    </x:row>
    <x:row r="65" ht="15" hidden="0" customHeight="1">
      <x:c r="A65" t="n">
        <x:v>1064</x:v>
      </x:c>
      <x:c r="B65" t="n">
        <x:v>1062</x:v>
      </x:c>
      <x:c r="C65" t="str">
        <x:v>User Story</x:v>
      </x:c>
      <x:c r="D65" t="str">
        <x:v>Create executive summary navigation page</x:v>
      </x:c>
      <x:c r="E65" t="str">
        <x:v>Future reporting enhancements backlog</x:v>
      </x:c>
      <x:c r="F65" t="n">
        <x:v>3</x:v>
      </x:c>
      <x:c r="G65" t="str">
        <x:v>To Do</x:v>
      </x:c>
    </x:row>
    <x:row r="66" ht="15" hidden="0" customHeight="1">
      <x:c r="A66" t="n">
        <x:v>1065</x:v>
      </x:c>
      <x:c r="B66" t="n">
        <x:v>1062</x:v>
      </x:c>
      <x:c r="C66" t="str">
        <x:v>User Story</x:v>
      </x:c>
      <x:c r="D66" t="str">
        <x:v>Add glossary page for report definitions</x:v>
      </x:c>
      <x:c r="E66" t="str">
        <x:v>Future reporting enhancements backlog</x:v>
      </x:c>
      <x:c r="F66" t="n">
        <x:v>3</x:v>
      </x:c>
      <x:c r="G66" t="str">
        <x:v>To Do</x:v>
      </x:c>
    </x:row>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699301c216d245aa"/>
  </x:tableParts>
</x:worksheet>
</file>

<file path=xl/worksheets/sheet4.xml><?xml version="1.0" encoding="utf-8"?>
<x:worksheet xmlns:x="http://schemas.openxmlformats.org/spreadsheetml/2006/main">
  <x:sheetFormatPr defaultRowHeight="15"/>
  <x:cols>
    <x:col min="1" max="1" width="11" hidden="0" customWidth="1"/>
    <x:col min="2" max="2" width="15" hidden="0" customWidth="1"/>
    <x:col min="3" max="3" width="12" hidden="0" customWidth="1"/>
    <x:col min="4" max="4" width="12" hidden="0" customWidth="1"/>
    <x:col min="5" max="5" width="18" hidden="0" customWidth="1"/>
    <x:col min="6" max="6" width="11" hidden="0" customWidth="1"/>
    <x:col min="7" max="7" width="12" hidden="0" customWidth="1"/>
    <x:col min="8" max="8" width="15" hidden="0" customWidth="1"/>
    <x:col min="9" max="9" width="15" hidden="0" customWidth="1"/>
    <x:col min="10" max="10" width="15" hidden="0" customWidth="1"/>
    <x:col min="11" max="11" width="11" hidden="0" customWidth="1"/>
    <x:col min="12" max="12" width="16" hidden="0" customWidth="1"/>
    <x:col min="13" max="13" width="32" hidden="0" customWidth="1"/>
    <x:col min="14" max="14" width="36" hidden="0" customWidth="1"/>
    <x:col min="15" max="15" width="26" hidden="0" customWidth="1"/>
    <x:col min="16" max="16" width="13" hidden="0" customWidth="1"/>
    <x:col min="17" max="17" width="13" hidden="0" customWidth="1"/>
    <x:col min="18" max="18" width="14" hidden="0" customWidth="1"/>
    <x:col min="19" max="19" width="10" hidden="0" customWidth="1"/>
    <x:col min="20" max="20" width="10" hidden="0" customWidth="1"/>
  </x:cols>
  <x:sheetData>
    <x:row r="1" ht="15" hidden="0" customHeight="1">
      <x:c r="A1" s="32" t="str">
        <x:v>Demo ID</x:v>
      </x:c>
      <x:c r="B1" s="32" t="str">
        <x:v>Work Item Type</x:v>
      </x:c>
      <x:c r="C1" s="32" t="str">
        <x:v>State</x:v>
      </x:c>
      <x:c r="D1" s="32" t="str">
        <x:v>Board Column</x:v>
      </x:c>
      <x:c r="E1" s="32" t="str">
        <x:v>Assigned To</x:v>
      </x:c>
      <x:c r="F1" s="32" t="str">
        <x:v>Priority</x:v>
      </x:c>
      <x:c r="G1" s="32" t="str">
        <x:v>Story Points</x:v>
      </x:c>
      <x:c r="H1" s="32" t="str">
        <x:v>Original Estimate</x:v>
      </x:c>
      <x:c r="I1" s="32" t="str">
        <x:v>Remaining Work</x:v>
      </x:c>
      <x:c r="J1" s="32" t="str">
        <x:v>Completed Work</x:v>
      </x:c>
      <x:c r="K1" s="32" t="str">
        <x:v>Progress %</x:v>
      </x:c>
      <x:c r="L1" s="32" t="str">
        <x:v>Sprint</x:v>
      </x:c>
      <x:c r="M1" s="32" t="str">
        <x:v>Report Name</x:v>
      </x:c>
      <x:c r="N1" s="32" t="str">
        <x:v>Semantic Model</x:v>
      </x:c>
      <x:c r="O1" s="32" t="str">
        <x:v>Workspace</x:v>
      </x:c>
      <x:c r="P1" s="32" t="str">
        <x:v>Created Date</x:v>
      </x:c>
      <x:c r="Q1" s="32" t="str">
        <x:v>Target Date</x:v>
      </x:c>
      <x:c r="R1" s="32" t="str">
        <x:v>Is Current Sprint</x:v>
      </x:c>
      <x:c r="S1" s="32" t="str">
        <x:v>Is Closed</x:v>
      </x:c>
      <x:c r="T1" s="32" t="str">
        <x:v>Age Days</x:v>
      </x:c>
    </x:row>
    <x:row r="2" ht="15" hidden="0" customHeight="1">
      <x:c r="A2" t="n">
        <x:v>1001</x:v>
      </x:c>
      <x:c r="B2" t="str">
        <x:v>Epic</x:v>
      </x:c>
      <x:c r="C2" t="str">
        <x:v>Active</x:v>
      </x:c>
      <x:c r="D2" t="str">
        <x:v>Doing</x:v>
      </x:c>
      <x:c r="E2" t="str">
        <x:v>Kishore K</x:v>
      </x:c>
      <x:c r="F2" t="str">
        <x:v>High</x:v>
      </x:c>
      <x:c r="G2" t="n">
        <x:v>0</x:v>
      </x:c>
      <x:c r="H2" t="n">
        <x:v>0</x:v>
      </x:c>
      <x:c r="I2" t="n">
        <x:v>0</x:v>
      </x:c>
      <x:c r="J2" t="n">
        <x:v>0</x:v>
      </x:c>
      <x:c r="K2" s="25" t="n">
        <x:v>0</x:v>
      </x:c>
      <x:c r="L2" t="str">
        <x:v>Sprint 2026-06</x:v>
      </x:c>
      <x:c r="M2" t="str"/>
      <x:c r="N2" t="str"/>
      <x:c r="O2" t="str"/>
      <x:c r="P2" s="29" t="n">
        <x:v>46188</x:v>
      </x:c>
      <x:c r="Q2" s="29" t="n">
        <x:v>46198</x:v>
      </x:c>
      <x:c r="R2" t="n">
        <x:v>1</x:v>
      </x:c>
      <x:c r="S2" t="n">
        <x:v>0</x:v>
      </x:c>
      <x:c r="T2" t="n">
        <x:v>9</x:v>
      </x:c>
    </x:row>
    <x:row r="3" ht="15" hidden="0" customHeight="1">
      <x:c r="A3" t="n">
        <x:v>1002</x:v>
      </x:c>
      <x:c r="B3" t="str">
        <x:v>Feature</x:v>
      </x:c>
      <x:c r="C3" t="str">
        <x:v>Active</x:v>
      </x:c>
      <x:c r="D3" t="str">
        <x:v>Doing</x:v>
      </x:c>
      <x:c r="E3" t="str">
        <x:v>Kishore K</x:v>
      </x:c>
      <x:c r="F3" t="str">
        <x:v>High</x:v>
      </x:c>
      <x:c r="G3" t="n">
        <x:v>0</x:v>
      </x:c>
      <x:c r="H3" t="n">
        <x:v>0</x:v>
      </x:c>
      <x:c r="I3" t="n">
        <x:v>0</x:v>
      </x:c>
      <x:c r="J3" t="n">
        <x:v>0</x:v>
      </x:c>
      <x:c r="K3" s="25" t="n">
        <x:v>0</x:v>
      </x:c>
      <x:c r="L3" t="str">
        <x:v>Sprint 2026-06</x:v>
      </x:c>
      <x:c r="M3" t="str"/>
      <x:c r="N3" t="str"/>
      <x:c r="O3" t="str"/>
      <x:c r="P3" s="29" t="n">
        <x:v>46188</x:v>
      </x:c>
      <x:c r="Q3" s="29" t="n">
        <x:v>46198</x:v>
      </x:c>
      <x:c r="R3" t="n">
        <x:v>1</x:v>
      </x:c>
      <x:c r="S3" t="n">
        <x:v>0</x:v>
      </x:c>
      <x:c r="T3" t="n">
        <x:v>9</x:v>
      </x:c>
    </x:row>
    <x:row r="4" ht="15" hidden="0" customHeight="1">
      <x:c r="A4" t="n">
        <x:v>1003</x:v>
      </x:c>
      <x:c r="B4" t="str">
        <x:v>Feature</x:v>
      </x:c>
      <x:c r="C4" t="str">
        <x:v>Active</x:v>
      </x:c>
      <x:c r="D4" t="str">
        <x:v>Doing</x:v>
      </x:c>
      <x:c r="E4" t="str">
        <x:v>Sarah Patel</x:v>
      </x:c>
      <x:c r="F4" t="str">
        <x:v>Medium</x:v>
      </x:c>
      <x:c r="G4" t="n">
        <x:v>0</x:v>
      </x:c>
      <x:c r="H4" t="n">
        <x:v>0</x:v>
      </x:c>
      <x:c r="I4" t="n">
        <x:v>0</x:v>
      </x:c>
      <x:c r="J4" t="n">
        <x:v>0</x:v>
      </x:c>
      <x:c r="K4" s="25" t="n">
        <x:v>0</x:v>
      </x:c>
      <x:c r="L4" t="str">
        <x:v>Sprint 2026-06</x:v>
      </x:c>
      <x:c r="M4" t="str"/>
      <x:c r="N4" t="str"/>
      <x:c r="O4" t="str"/>
      <x:c r="P4" s="29" t="n">
        <x:v>46189</x:v>
      </x:c>
      <x:c r="Q4" s="29" t="n">
        <x:v>46198</x:v>
      </x:c>
      <x:c r="R4" t="n">
        <x:v>1</x:v>
      </x:c>
      <x:c r="S4" t="n">
        <x:v>0</x:v>
      </x:c>
      <x:c r="T4" t="n">
        <x:v>8</x:v>
      </x:c>
    </x:row>
    <x:row r="5" ht="15" hidden="0" customHeight="1">
      <x:c r="A5" t="n">
        <x:v>1004</x:v>
      </x:c>
      <x:c r="B5" t="str">
        <x:v>Epic</x:v>
      </x:c>
      <x:c r="C5" t="str">
        <x:v>Active</x:v>
      </x:c>
      <x:c r="D5" t="str">
        <x:v>Doing</x:v>
      </x:c>
      <x:c r="E5" t="str">
        <x:v>Kishore K</x:v>
      </x:c>
      <x:c r="F5" t="str">
        <x:v>Medium</x:v>
      </x:c>
      <x:c r="G5" t="n">
        <x:v>0</x:v>
      </x:c>
      <x:c r="H5" t="n">
        <x:v>0</x:v>
      </x:c>
      <x:c r="I5" t="n">
        <x:v>0</x:v>
      </x:c>
      <x:c r="J5" t="n">
        <x:v>0</x:v>
      </x:c>
      <x:c r="K5" s="25" t="n">
        <x:v>0</x:v>
      </x:c>
      <x:c r="L5" t="str">
        <x:v>Sprint 2026-06</x:v>
      </x:c>
      <x:c r="M5" t="str"/>
      <x:c r="N5" t="str"/>
      <x:c r="O5" t="str"/>
      <x:c r="P5" s="29" t="n">
        <x:v>46188</x:v>
      </x:c>
      <x:c r="Q5" s="29" t="n">
        <x:v>46198</x:v>
      </x:c>
      <x:c r="R5" t="n">
        <x:v>1</x:v>
      </x:c>
      <x:c r="S5" t="n">
        <x:v>0</x:v>
      </x:c>
      <x:c r="T5" t="n">
        <x:v>9</x:v>
      </x:c>
    </x:row>
    <x:row r="6" ht="15" hidden="0" customHeight="1">
      <x:c r="A6" t="n">
        <x:v>1005</x:v>
      </x:c>
      <x:c r="B6" t="str">
        <x:v>Feature</x:v>
      </x:c>
      <x:c r="C6" t="str">
        <x:v>Active</x:v>
      </x:c>
      <x:c r="D6" t="str">
        <x:v>Doing</x:v>
      </x:c>
      <x:c r="E6" t="str">
        <x:v>Daniel Carter</x:v>
      </x:c>
      <x:c r="F6" t="str">
        <x:v>Medium</x:v>
      </x:c>
      <x:c r="G6" t="n">
        <x:v>0</x:v>
      </x:c>
      <x:c r="H6" t="n">
        <x:v>0</x:v>
      </x:c>
      <x:c r="I6" t="n">
        <x:v>0</x:v>
      </x:c>
      <x:c r="J6" t="n">
        <x:v>0</x:v>
      </x:c>
      <x:c r="K6" s="25" t="n">
        <x:v>0</x:v>
      </x:c>
      <x:c r="L6" t="str">
        <x:v>Sprint 2026-06</x:v>
      </x:c>
      <x:c r="M6" t="str"/>
      <x:c r="N6" t="str"/>
      <x:c r="O6" t="str"/>
      <x:c r="P6" s="29" t="n">
        <x:v>46189</x:v>
      </x:c>
      <x:c r="Q6" s="29" t="n">
        <x:v>46198</x:v>
      </x:c>
      <x:c r="R6" t="n">
        <x:v>1</x:v>
      </x:c>
      <x:c r="S6" t="n">
        <x:v>0</x:v>
      </x:c>
      <x:c r="T6" t="n">
        <x:v>8</x:v>
      </x:c>
    </x:row>
    <x:row r="7" ht="15" hidden="0" customHeight="1">
      <x:c r="A7" t="n">
        <x:v>1006</x:v>
      </x:c>
      <x:c r="B7" t="str">
        <x:v>User Story</x:v>
      </x:c>
      <x:c r="C7" t="str">
        <x:v>Active</x:v>
      </x:c>
      <x:c r="D7" t="str">
        <x:v>Doing</x:v>
      </x:c>
      <x:c r="E7" t="str">
        <x:v>Amelia Brown</x:v>
      </x:c>
      <x:c r="F7" t="str">
        <x:v>High</x:v>
      </x:c>
      <x:c r="G7" t="n">
        <x:v>8</x:v>
      </x:c>
      <x:c r="H7" t="n">
        <x:v>16</x:v>
      </x:c>
      <x:c r="I7" t="n">
        <x:v>9</x:v>
      </x:c>
      <x:c r="J7" t="n">
        <x:v>7</x:v>
      </x:c>
      <x:c r="K7" s="25" t="n">
        <x:v>0.44</x:v>
      </x:c>
      <x:c r="L7" t="str">
        <x:v>Sprint 2026-06</x:v>
      </x:c>
      <x:c r="M7" t="str">
        <x:v>Monthly Incident Performance Report</x:v>
      </x:c>
      <x:c r="N7" t="str">
        <x:v>PROD - Incident Reporting Semantic Model</x:v>
      </x:c>
      <x:c r="O7" t="str">
        <x:v>Analyst Report Workspace</x:v>
      </x:c>
      <x:c r="P7" s="29" t="n">
        <x:v>46188</x:v>
      </x:c>
      <x:c r="Q7" s="29" t="n">
        <x:v>46198</x:v>
      </x:c>
      <x:c r="R7" t="n">
        <x:v>1</x:v>
      </x:c>
      <x:c r="S7" t="n">
        <x:v>0</x:v>
      </x:c>
      <x:c r="T7" t="n">
        <x:v>9</x:v>
      </x:c>
    </x:row>
    <x:row r="8" ht="15" hidden="0" customHeight="1">
      <x:c r="A8" t="n">
        <x:v>1007</x:v>
      </x:c>
      <x:c r="B8" t="str">
        <x:v>Task</x:v>
      </x:c>
      <x:c r="C8" t="str">
        <x:v>Closed</x:v>
      </x:c>
      <x:c r="D8" t="str">
        <x:v>Done</x:v>
      </x:c>
      <x:c r="E8" t="str">
        <x:v>Amelia Brown</x:v>
      </x:c>
      <x:c r="F8" t="str">
        <x:v>High</x:v>
      </x:c>
      <x:c r="G8" t="n">
        <x:v>0</x:v>
      </x:c>
      <x:c r="H8" t="n">
        <x:v>3</x:v>
      </x:c>
      <x:c r="I8" t="n">
        <x:v>0</x:v>
      </x:c>
      <x:c r="J8" t="n">
        <x:v>3</x:v>
      </x:c>
      <x:c r="K8" s="25" t="n">
        <x:v>1</x:v>
      </x:c>
      <x:c r="L8" t="str">
        <x:v>Sprint 2026-06</x:v>
      </x:c>
      <x:c r="M8" t="str">
        <x:v>Monthly Incident Performance Report</x:v>
      </x:c>
      <x:c r="N8" t="str">
        <x:v>PROD - Incident Reporting Semantic Model</x:v>
      </x:c>
      <x:c r="O8" t="str">
        <x:v>Analyst Report Workspace</x:v>
      </x:c>
      <x:c r="P8" s="29" t="n">
        <x:v>46188</x:v>
      </x:c>
      <x:c r="Q8" s="29" t="n">
        <x:v>46198</x:v>
      </x:c>
      <x:c r="R8" t="n">
        <x:v>1</x:v>
      </x:c>
      <x:c r="S8" t="n">
        <x:v>1</x:v>
      </x:c>
      <x:c r="T8" t="n">
        <x:v>9</x:v>
      </x:c>
    </x:row>
    <x:row r="9" ht="15" hidden="0" customHeight="1">
      <x:c r="A9" t="n">
        <x:v>1008</x:v>
      </x:c>
      <x:c r="B9" t="str">
        <x:v>Task</x:v>
      </x:c>
      <x:c r="C9" t="str">
        <x:v>Active</x:v>
      </x:c>
      <x:c r="D9" t="str">
        <x:v>Doing</x:v>
      </x:c>
      <x:c r="E9" t="str">
        <x:v>Amelia Brown</x:v>
      </x:c>
      <x:c r="F9" t="str">
        <x:v>High</x:v>
      </x:c>
      <x:c r="G9" t="n">
        <x:v>0</x:v>
      </x:c>
      <x:c r="H9" t="n">
        <x:v>3</x:v>
      </x:c>
      <x:c r="I9" t="n">
        <x:v>2</x:v>
      </x:c>
      <x:c r="J9" t="n">
        <x:v>1</x:v>
      </x:c>
      <x:c r="K9" s="25" t="n">
        <x:v>0.33</x:v>
      </x:c>
      <x:c r="L9" t="str">
        <x:v>Sprint 2026-06</x:v>
      </x:c>
      <x:c r="M9" t="str">
        <x:v>Monthly Incident Performance Report</x:v>
      </x:c>
      <x:c r="N9" t="str">
        <x:v>PROD - Incident Reporting Semantic Model</x:v>
      </x:c>
      <x:c r="O9" t="str">
        <x:v>Analyst Report Workspace</x:v>
      </x:c>
      <x:c r="P9" s="29" t="n">
        <x:v>46189</x:v>
      </x:c>
      <x:c r="Q9" s="29" t="n">
        <x:v>46198</x:v>
      </x:c>
      <x:c r="R9" t="n">
        <x:v>1</x:v>
      </x:c>
      <x:c r="S9" t="n">
        <x:v>0</x:v>
      </x:c>
      <x:c r="T9" t="n">
        <x:v>8</x:v>
      </x:c>
    </x:row>
    <x:row r="10" ht="15" hidden="0" customHeight="1">
      <x:c r="A10" t="n">
        <x:v>1009</x:v>
      </x:c>
      <x:c r="B10" t="str">
        <x:v>Task</x:v>
      </x:c>
      <x:c r="C10" t="str">
        <x:v>Resolved</x:v>
      </x:c>
      <x:c r="D10" t="str">
        <x:v>Review</x:v>
      </x:c>
      <x:c r="E10" t="str">
        <x:v>Amelia Brown</x:v>
      </x:c>
      <x:c r="F10" t="str">
        <x:v>High</x:v>
      </x:c>
      <x:c r="G10" t="n">
        <x:v>0</x:v>
      </x:c>
      <x:c r="H10" t="n">
        <x:v>2</x:v>
      </x:c>
      <x:c r="I10" t="n">
        <x:v>1</x:v>
      </x:c>
      <x:c r="J10" t="n">
        <x:v>1</x:v>
      </x:c>
      <x:c r="K10" s="25" t="n">
        <x:v>0.5</x:v>
      </x:c>
      <x:c r="L10" t="str">
        <x:v>Sprint 2026-06</x:v>
      </x:c>
      <x:c r="M10" t="str">
        <x:v>Monthly Incident Performance Report</x:v>
      </x:c>
      <x:c r="N10" t="str">
        <x:v>PROD - Incident Reporting Semantic Model</x:v>
      </x:c>
      <x:c r="O10" t="str">
        <x:v>Analyst Report Workspace</x:v>
      </x:c>
      <x:c r="P10" s="29" t="n">
        <x:v>46190</x:v>
      </x:c>
      <x:c r="Q10" s="29" t="n">
        <x:v>46198</x:v>
      </x:c>
      <x:c r="R10" t="n">
        <x:v>1</x:v>
      </x:c>
      <x:c r="S10" t="n">
        <x:v>0</x:v>
      </x:c>
      <x:c r="T10" t="n">
        <x:v>7</x:v>
      </x:c>
    </x:row>
    <x:row r="11" ht="15" hidden="0" customHeight="1">
      <x:c r="A11" t="n">
        <x:v>1010</x:v>
      </x:c>
      <x:c r="B11" t="str">
        <x:v>User Story</x:v>
      </x:c>
      <x:c r="C11" t="str">
        <x:v>Resolved</x:v>
      </x:c>
      <x:c r="D11" t="str">
        <x:v>Review</x:v>
      </x:c>
      <x:c r="E11" t="str">
        <x:v>Daniel Carter</x:v>
      </x:c>
      <x:c r="F11" t="str">
        <x:v>Medium</x:v>
      </x:c>
      <x:c r="G11" t="n">
        <x:v>5</x:v>
      </x:c>
      <x:c r="H11" t="n">
        <x:v>10</x:v>
      </x:c>
      <x:c r="I11" t="n">
        <x:v>2</x:v>
      </x:c>
      <x:c r="J11" t="n">
        <x:v>8</x:v>
      </x:c>
      <x:c r="K11" s="25" t="n">
        <x:v>0.8</x:v>
      </x:c>
      <x:c r="L11" t="str">
        <x:v>Sprint 2026-06</x:v>
      </x:c>
      <x:c r="M11" t="str">
        <x:v>Officer Availability Dashboard</x:v>
      </x:c>
      <x:c r="N11" t="str">
        <x:v>PROD - Workforce Semantic Model</x:v>
      </x:c>
      <x:c r="O11" t="str">
        <x:v>Analyst Report Workspace</x:v>
      </x:c>
      <x:c r="P11" s="29" t="n">
        <x:v>46189</x:v>
      </x:c>
      <x:c r="Q11" s="29" t="n">
        <x:v>46198</x:v>
      </x:c>
      <x:c r="R11" t="n">
        <x:v>1</x:v>
      </x:c>
      <x:c r="S11" t="n">
        <x:v>0</x:v>
      </x:c>
      <x:c r="T11" t="n">
        <x:v>8</x:v>
      </x:c>
    </x:row>
    <x:row r="12" ht="15" hidden="0" customHeight="1">
      <x:c r="A12" t="n">
        <x:v>1011</x:v>
      </x:c>
      <x:c r="B12" t="str">
        <x:v>Task</x:v>
      </x:c>
      <x:c r="C12" t="str">
        <x:v>Active</x:v>
      </x:c>
      <x:c r="D12" t="str">
        <x:v>Doing</x:v>
      </x:c>
      <x:c r="E12" t="str">
        <x:v>Daniel Carter</x:v>
      </x:c>
      <x:c r="F12" t="str">
        <x:v>Medium</x:v>
      </x:c>
      <x:c r="G12" t="n">
        <x:v>0</x:v>
      </x:c>
      <x:c r="H12" t="n">
        <x:v>3</x:v>
      </x:c>
      <x:c r="I12" t="n">
        <x:v>2</x:v>
      </x:c>
      <x:c r="J12" t="n">
        <x:v>1</x:v>
      </x:c>
      <x:c r="K12" s="25" t="n">
        <x:v>0.33</x:v>
      </x:c>
      <x:c r="L12" t="str">
        <x:v>Sprint 2026-06</x:v>
      </x:c>
      <x:c r="M12" t="str">
        <x:v>Officer Availability Dashboard</x:v>
      </x:c>
      <x:c r="N12" t="str">
        <x:v>PROD - Workforce Semantic Model</x:v>
      </x:c>
      <x:c r="O12" t="str">
        <x:v>Analyst Report Workspace</x:v>
      </x:c>
      <x:c r="P12" s="29" t="n">
        <x:v>46189</x:v>
      </x:c>
      <x:c r="Q12" s="29" t="n">
        <x:v>46198</x:v>
      </x:c>
      <x:c r="R12" t="n">
        <x:v>1</x:v>
      </x:c>
      <x:c r="S12" t="n">
        <x:v>0</x:v>
      </x:c>
      <x:c r="T12" t="n">
        <x:v>8</x:v>
      </x:c>
    </x:row>
    <x:row r="13" ht="15" hidden="0" customHeight="1">
      <x:c r="A13" t="n">
        <x:v>1012</x:v>
      </x:c>
      <x:c r="B13" t="str">
        <x:v>Task</x:v>
      </x:c>
      <x:c r="C13" t="str">
        <x:v>Resolved</x:v>
      </x:c>
      <x:c r="D13" t="str">
        <x:v>Review</x:v>
      </x:c>
      <x:c r="E13" t="str">
        <x:v>Daniel Carter</x:v>
      </x:c>
      <x:c r="F13" t="str">
        <x:v>Medium</x:v>
      </x:c>
      <x:c r="G13" t="n">
        <x:v>0</x:v>
      </x:c>
      <x:c r="H13" t="n">
        <x:v>3</x:v>
      </x:c>
      <x:c r="I13" t="n">
        <x:v>1</x:v>
      </x:c>
      <x:c r="J13" t="n">
        <x:v>2</x:v>
      </x:c>
      <x:c r="K13" s="25" t="n">
        <x:v>0.67</x:v>
      </x:c>
      <x:c r="L13" t="str">
        <x:v>Sprint 2026-06</x:v>
      </x:c>
      <x:c r="M13" t="str">
        <x:v>Officer Availability Dashboard</x:v>
      </x:c>
      <x:c r="N13" t="str">
        <x:v>PROD - Workforce Semantic Model</x:v>
      </x:c>
      <x:c r="O13" t="str">
        <x:v>Analyst Report Workspace</x:v>
      </x:c>
      <x:c r="P13" s="29" t="n">
        <x:v>46190</x:v>
      </x:c>
      <x:c r="Q13" s="29" t="n">
        <x:v>46198</x:v>
      </x:c>
      <x:c r="R13" t="n">
        <x:v>1</x:v>
      </x:c>
      <x:c r="S13" t="n">
        <x:v>0</x:v>
      </x:c>
      <x:c r="T13" t="n">
        <x:v>7</x:v>
      </x:c>
    </x:row>
    <x:row r="14" ht="15" hidden="0" customHeight="1">
      <x:c r="A14" t="n">
        <x:v>1013</x:v>
      </x:c>
      <x:c r="B14" t="str">
        <x:v>Task</x:v>
      </x:c>
      <x:c r="C14" t="str">
        <x:v>New</x:v>
      </x:c>
      <x:c r="D14" t="str">
        <x:v>To Do</x:v>
      </x:c>
      <x:c r="E14" t="str">
        <x:v>Daniel Carter</x:v>
      </x:c>
      <x:c r="F14" t="str">
        <x:v>Medium</x:v>
      </x:c>
      <x:c r="G14" t="n">
        <x:v>0</x:v>
      </x:c>
      <x:c r="H14" t="n">
        <x:v>2</x:v>
      </x:c>
      <x:c r="I14" t="n">
        <x:v>2</x:v>
      </x:c>
      <x:c r="J14" t="n">
        <x:v>0</x:v>
      </x:c>
      <x:c r="K14" s="25" t="n">
        <x:v>0</x:v>
      </x:c>
      <x:c r="L14" t="str">
        <x:v>Sprint 2026-06</x:v>
      </x:c>
      <x:c r="M14" t="str">
        <x:v>Officer Availability Dashboard</x:v>
      </x:c>
      <x:c r="N14" t="str">
        <x:v>PROD - Workforce Semantic Model</x:v>
      </x:c>
      <x:c r="O14" t="str">
        <x:v>Analyst Report Workspace</x:v>
      </x:c>
      <x:c r="P14" s="29" t="n">
        <x:v>46191</x:v>
      </x:c>
      <x:c r="Q14" s="29" t="n">
        <x:v>46198</x:v>
      </x:c>
      <x:c r="R14" t="n">
        <x:v>1</x:v>
      </x:c>
      <x:c r="S14" t="n">
        <x:v>0</x:v>
      </x:c>
      <x:c r="T14" t="n">
        <x:v>6</x:v>
      </x:c>
    </x:row>
    <x:row r="15" ht="15" hidden="0" customHeight="1">
      <x:c r="A15" t="n">
        <x:v>1014</x:v>
      </x:c>
      <x:c r="B15" t="str">
        <x:v>User Story</x:v>
      </x:c>
      <x:c r="C15" t="str">
        <x:v>Closed</x:v>
      </x:c>
      <x:c r="D15" t="str">
        <x:v>Done</x:v>
      </x:c>
      <x:c r="E15" t="str">
        <x:v>Priya Nair</x:v>
      </x:c>
      <x:c r="F15" t="str">
        <x:v>High</x:v>
      </x:c>
      <x:c r="G15" t="n">
        <x:v>8</x:v>
      </x:c>
      <x:c r="H15" t="n">
        <x:v>16</x:v>
      </x:c>
      <x:c r="I15" t="n">
        <x:v>0</x:v>
      </x:c>
      <x:c r="J15" t="n">
        <x:v>16</x:v>
      </x:c>
      <x:c r="K15" s="25" t="n">
        <x:v>1</x:v>
      </x:c>
      <x:c r="L15" t="str">
        <x:v>Sprint 2026-06</x:v>
      </x:c>
      <x:c r="M15" t="str">
        <x:v>Custody Performance Dashboard</x:v>
      </x:c>
      <x:c r="N15" t="str">
        <x:v>PROD - Custody Reporting Semantic Model</x:v>
      </x:c>
      <x:c r="O15" t="str">
        <x:v>Analyst Report Workspace</x:v>
      </x:c>
      <x:c r="P15" s="29" t="n">
        <x:v>46190</x:v>
      </x:c>
      <x:c r="Q15" s="29" t="n">
        <x:v>46198</x:v>
      </x:c>
      <x:c r="R15" t="n">
        <x:v>1</x:v>
      </x:c>
      <x:c r="S15" t="n">
        <x:v>1</x:v>
      </x:c>
      <x:c r="T15" t="n">
        <x:v>7</x:v>
      </x:c>
    </x:row>
    <x:row r="16" ht="15" hidden="0" customHeight="1">
      <x:c r="A16" t="n">
        <x:v>1015</x:v>
      </x:c>
      <x:c r="B16" t="str">
        <x:v>Task</x:v>
      </x:c>
      <x:c r="C16" t="str">
        <x:v>Resolved</x:v>
      </x:c>
      <x:c r="D16" t="str">
        <x:v>Review</x:v>
      </x:c>
      <x:c r="E16" t="str">
        <x:v>Priya Nair</x:v>
      </x:c>
      <x:c r="F16" t="str">
        <x:v>High</x:v>
      </x:c>
      <x:c r="G16" t="n">
        <x:v>0</x:v>
      </x:c>
      <x:c r="H16" t="n">
        <x:v>3</x:v>
      </x:c>
      <x:c r="I16" t="n">
        <x:v>1</x:v>
      </x:c>
      <x:c r="J16" t="n">
        <x:v>2</x:v>
      </x:c>
      <x:c r="K16" s="25" t="n">
        <x:v>0.67</x:v>
      </x:c>
      <x:c r="L16" t="str">
        <x:v>Sprint 2026-06</x:v>
      </x:c>
      <x:c r="M16" t="str">
        <x:v>Custody Performance Dashboard</x:v>
      </x:c>
      <x:c r="N16" t="str">
        <x:v>PROD - Custody Reporting Semantic Model</x:v>
      </x:c>
      <x:c r="O16" t="str">
        <x:v>Analyst Report Workspace</x:v>
      </x:c>
      <x:c r="P16" s="29" t="n">
        <x:v>46190</x:v>
      </x:c>
      <x:c r="Q16" s="29" t="n">
        <x:v>46198</x:v>
      </x:c>
      <x:c r="R16" t="n">
        <x:v>1</x:v>
      </x:c>
      <x:c r="S16" t="n">
        <x:v>0</x:v>
      </x:c>
      <x:c r="T16" t="n">
        <x:v>7</x:v>
      </x:c>
    </x:row>
    <x:row r="17" ht="15" hidden="0" customHeight="1">
      <x:c r="A17" t="n">
        <x:v>1016</x:v>
      </x:c>
      <x:c r="B17" t="str">
        <x:v>Task</x:v>
      </x:c>
      <x:c r="C17" t="str">
        <x:v>New</x:v>
      </x:c>
      <x:c r="D17" t="str">
        <x:v>To Do</x:v>
      </x:c>
      <x:c r="E17" t="str">
        <x:v>Priya Nair</x:v>
      </x:c>
      <x:c r="F17" t="str">
        <x:v>High</x:v>
      </x:c>
      <x:c r="G17" t="n">
        <x:v>0</x:v>
      </x:c>
      <x:c r="H17" t="n">
        <x:v>3</x:v>
      </x:c>
      <x:c r="I17" t="n">
        <x:v>3</x:v>
      </x:c>
      <x:c r="J17" t="n">
        <x:v>0</x:v>
      </x:c>
      <x:c r="K17" s="25" t="n">
        <x:v>0</x:v>
      </x:c>
      <x:c r="L17" t="str">
        <x:v>Sprint 2026-06</x:v>
      </x:c>
      <x:c r="M17" t="str">
        <x:v>Custody Performance Dashboard</x:v>
      </x:c>
      <x:c r="N17" t="str">
        <x:v>PROD - Custody Reporting Semantic Model</x:v>
      </x:c>
      <x:c r="O17" t="str">
        <x:v>Analyst Report Workspace</x:v>
      </x:c>
      <x:c r="P17" s="29" t="n">
        <x:v>46191</x:v>
      </x:c>
      <x:c r="Q17" s="29" t="n">
        <x:v>46198</x:v>
      </x:c>
      <x:c r="R17" t="n">
        <x:v>1</x:v>
      </x:c>
      <x:c r="S17" t="n">
        <x:v>0</x:v>
      </x:c>
      <x:c r="T17" t="n">
        <x:v>6</x:v>
      </x:c>
    </x:row>
    <x:row r="18" ht="15" hidden="0" customHeight="1">
      <x:c r="A18" t="n">
        <x:v>1017</x:v>
      </x:c>
      <x:c r="B18" t="str">
        <x:v>Task</x:v>
      </x:c>
      <x:c r="C18" t="str">
        <x:v>Closed</x:v>
      </x:c>
      <x:c r="D18" t="str">
        <x:v>Done</x:v>
      </x:c>
      <x:c r="E18" t="str">
        <x:v>Priya Nair</x:v>
      </x:c>
      <x:c r="F18" t="str">
        <x:v>High</x:v>
      </x:c>
      <x:c r="G18" t="n">
        <x:v>0</x:v>
      </x:c>
      <x:c r="H18" t="n">
        <x:v>2</x:v>
      </x:c>
      <x:c r="I18" t="n">
        <x:v>0</x:v>
      </x:c>
      <x:c r="J18" t="n">
        <x:v>2</x:v>
      </x:c>
      <x:c r="K18" s="25" t="n">
        <x:v>1</x:v>
      </x:c>
      <x:c r="L18" t="str">
        <x:v>Sprint 2026-06</x:v>
      </x:c>
      <x:c r="M18" t="str">
        <x:v>Custody Performance Dashboard</x:v>
      </x:c>
      <x:c r="N18" t="str">
        <x:v>PROD - Custody Reporting Semantic Model</x:v>
      </x:c>
      <x:c r="O18" t="str">
        <x:v>Analyst Report Workspace</x:v>
      </x:c>
      <x:c r="P18" s="29" t="n">
        <x:v>46192</x:v>
      </x:c>
      <x:c r="Q18" s="29" t="n">
        <x:v>46198</x:v>
      </x:c>
      <x:c r="R18" t="n">
        <x:v>1</x:v>
      </x:c>
      <x:c r="S18" t="n">
        <x:v>1</x:v>
      </x:c>
      <x:c r="T18" t="n">
        <x:v>5</x:v>
      </x:c>
    </x:row>
    <x:row r="19" ht="15" hidden="0" customHeight="1">
      <x:c r="A19" t="n">
        <x:v>1018</x:v>
      </x:c>
      <x:c r="B19" t="str">
        <x:v>User Story</x:v>
      </x:c>
      <x:c r="C19" t="str">
        <x:v>New</x:v>
      </x:c>
      <x:c r="D19" t="str">
        <x:v>To Do</x:v>
      </x:c>
      <x:c r="E19" t="str">
        <x:v>Tom Hughes</x:v>
      </x:c>
      <x:c r="F19" t="str">
        <x:v>Medium</x:v>
      </x:c>
      <x:c r="G19" t="n">
        <x:v>5</x:v>
      </x:c>
      <x:c r="H19" t="n">
        <x:v>10</x:v>
      </x:c>
      <x:c r="I19" t="n">
        <x:v>10</x:v>
      </x:c>
      <x:c r="J19" t="n">
        <x:v>0</x:v>
      </x:c>
      <x:c r="K19" s="25" t="n">
        <x:v>0</x:v>
      </x:c>
      <x:c r="L19" t="str">
        <x:v>Sprint 2026-06</x:v>
      </x:c>
      <x:c r="M19" t="str">
        <x:v>Victim Services Overview</x:v>
      </x:c>
      <x:c r="N19" t="str">
        <x:v>PROD - Victim Services Semantic Model</x:v>
      </x:c>
      <x:c r="O19" t="str">
        <x:v>Analyst Report Workspace</x:v>
      </x:c>
      <x:c r="P19" s="29" t="n">
        <x:v>46191</x:v>
      </x:c>
      <x:c r="Q19" s="29" t="n">
        <x:v>46198</x:v>
      </x:c>
      <x:c r="R19" t="n">
        <x:v>1</x:v>
      </x:c>
      <x:c r="S19" t="n">
        <x:v>0</x:v>
      </x:c>
      <x:c r="T19" t="n">
        <x:v>6</x:v>
      </x:c>
    </x:row>
    <x:row r="20" ht="15" hidden="0" customHeight="1">
      <x:c r="A20" t="n">
        <x:v>1019</x:v>
      </x:c>
      <x:c r="B20" t="str">
        <x:v>Task</x:v>
      </x:c>
      <x:c r="C20" t="str">
        <x:v>New</x:v>
      </x:c>
      <x:c r="D20" t="str">
        <x:v>To Do</x:v>
      </x:c>
      <x:c r="E20" t="str">
        <x:v>Tom Hughes</x:v>
      </x:c>
      <x:c r="F20" t="str">
        <x:v>Medium</x:v>
      </x:c>
      <x:c r="G20" t="n">
        <x:v>0</x:v>
      </x:c>
      <x:c r="H20" t="n">
        <x:v>3</x:v>
      </x:c>
      <x:c r="I20" t="n">
        <x:v>3</x:v>
      </x:c>
      <x:c r="J20" t="n">
        <x:v>0</x:v>
      </x:c>
      <x:c r="K20" s="25" t="n">
        <x:v>0</x:v>
      </x:c>
      <x:c r="L20" t="str">
        <x:v>Sprint 2026-06</x:v>
      </x:c>
      <x:c r="M20" t="str">
        <x:v>Victim Services Overview</x:v>
      </x:c>
      <x:c r="N20" t="str">
        <x:v>PROD - Victim Services Semantic Model</x:v>
      </x:c>
      <x:c r="O20" t="str">
        <x:v>Analyst Report Workspace</x:v>
      </x:c>
      <x:c r="P20" s="29" t="n">
        <x:v>46191</x:v>
      </x:c>
      <x:c r="Q20" s="29" t="n">
        <x:v>46198</x:v>
      </x:c>
      <x:c r="R20" t="n">
        <x:v>1</x:v>
      </x:c>
      <x:c r="S20" t="n">
        <x:v>0</x:v>
      </x:c>
      <x:c r="T20" t="n">
        <x:v>6</x:v>
      </x:c>
    </x:row>
    <x:row r="21" ht="15" hidden="0" customHeight="1">
      <x:c r="A21" t="n">
        <x:v>1020</x:v>
      </x:c>
      <x:c r="B21" t="str">
        <x:v>Task</x:v>
      </x:c>
      <x:c r="C21" t="str">
        <x:v>Closed</x:v>
      </x:c>
      <x:c r="D21" t="str">
        <x:v>Done</x:v>
      </x:c>
      <x:c r="E21" t="str">
        <x:v>Tom Hughes</x:v>
      </x:c>
      <x:c r="F21" t="str">
        <x:v>Medium</x:v>
      </x:c>
      <x:c r="G21" t="n">
        <x:v>0</x:v>
      </x:c>
      <x:c r="H21" t="n">
        <x:v>3</x:v>
      </x:c>
      <x:c r="I21" t="n">
        <x:v>0</x:v>
      </x:c>
      <x:c r="J21" t="n">
        <x:v>3</x:v>
      </x:c>
      <x:c r="K21" s="25" t="n">
        <x:v>1</x:v>
      </x:c>
      <x:c r="L21" t="str">
        <x:v>Sprint 2026-06</x:v>
      </x:c>
      <x:c r="M21" t="str">
        <x:v>Victim Services Overview</x:v>
      </x:c>
      <x:c r="N21" t="str">
        <x:v>PROD - Victim Services Semantic Model</x:v>
      </x:c>
      <x:c r="O21" t="str">
        <x:v>Analyst Report Workspace</x:v>
      </x:c>
      <x:c r="P21" s="29" t="n">
        <x:v>46192</x:v>
      </x:c>
      <x:c r="Q21" s="29" t="n">
        <x:v>46198</x:v>
      </x:c>
      <x:c r="R21" t="n">
        <x:v>1</x:v>
      </x:c>
      <x:c r="S21" t="n">
        <x:v>1</x:v>
      </x:c>
      <x:c r="T21" t="n">
        <x:v>5</x:v>
      </x:c>
    </x:row>
    <x:row r="22" ht="15" hidden="0" customHeight="1">
      <x:c r="A22" t="n">
        <x:v>1021</x:v>
      </x:c>
      <x:c r="B22" t="str">
        <x:v>Task</x:v>
      </x:c>
      <x:c r="C22" t="str">
        <x:v>Active</x:v>
      </x:c>
      <x:c r="D22" t="str">
        <x:v>Doing</x:v>
      </x:c>
      <x:c r="E22" t="str">
        <x:v>Tom Hughes</x:v>
      </x:c>
      <x:c r="F22" t="str">
        <x:v>Medium</x:v>
      </x:c>
      <x:c r="G22" t="n">
        <x:v>0</x:v>
      </x:c>
      <x:c r="H22" t="n">
        <x:v>2</x:v>
      </x:c>
      <x:c r="I22" t="n">
        <x:v>1</x:v>
      </x:c>
      <x:c r="J22" t="n">
        <x:v>1</x:v>
      </x:c>
      <x:c r="K22" s="25" t="n">
        <x:v>0.5</x:v>
      </x:c>
      <x:c r="L22" t="str">
        <x:v>Sprint 2026-06</x:v>
      </x:c>
      <x:c r="M22" t="str">
        <x:v>Victim Services Overview</x:v>
      </x:c>
      <x:c r="N22" t="str">
        <x:v>PROD - Victim Services Semantic Model</x:v>
      </x:c>
      <x:c r="O22" t="str">
        <x:v>Analyst Report Workspace</x:v>
      </x:c>
      <x:c r="P22" s="29" t="n">
        <x:v>46188</x:v>
      </x:c>
      <x:c r="Q22" s="29" t="n">
        <x:v>46198</x:v>
      </x:c>
      <x:c r="R22" t="n">
        <x:v>1</x:v>
      </x:c>
      <x:c r="S22" t="n">
        <x:v>0</x:v>
      </x:c>
      <x:c r="T22" t="n">
        <x:v>9</x:v>
      </x:c>
    </x:row>
    <x:row r="23" ht="15" hidden="0" customHeight="1">
      <x:c r="A23" t="n">
        <x:v>1022</x:v>
      </x:c>
      <x:c r="B23" t="str">
        <x:v>User Story</x:v>
      </x:c>
      <x:c r="C23" t="str">
        <x:v>Active</x:v>
      </x:c>
      <x:c r="D23" t="str">
        <x:v>Doing</x:v>
      </x:c>
      <x:c r="E23" t="str">
        <x:v>Sarah Patel</x:v>
      </x:c>
      <x:c r="F23" t="str">
        <x:v>Medium</x:v>
      </x:c>
      <x:c r="G23" t="n">
        <x:v>5</x:v>
      </x:c>
      <x:c r="H23" t="n">
        <x:v>10</x:v>
      </x:c>
      <x:c r="I23" t="n">
        <x:v>6</x:v>
      </x:c>
      <x:c r="J23" t="n">
        <x:v>4</x:v>
      </x:c>
      <x:c r="K23" s="25" t="n">
        <x:v>0.4</x:v>
      </x:c>
      <x:c r="L23" t="str">
        <x:v>Sprint 2026-06</x:v>
      </x:c>
      <x:c r="M23" t="str">
        <x:v>Stop and Search Summary</x:v>
      </x:c>
      <x:c r="N23" t="str">
        <x:v>PROD - Stop and Search Semantic Model</x:v>
      </x:c>
      <x:c r="O23" t="str">
        <x:v>Analyst Report Workspace</x:v>
      </x:c>
      <x:c r="P23" s="29" t="n">
        <x:v>46188</x:v>
      </x:c>
      <x:c r="Q23" s="29" t="n">
        <x:v>46198</x:v>
      </x:c>
      <x:c r="R23" t="n">
        <x:v>1</x:v>
      </x:c>
      <x:c r="S23" t="n">
        <x:v>0</x:v>
      </x:c>
      <x:c r="T23" t="n">
        <x:v>9</x:v>
      </x:c>
    </x:row>
    <x:row r="24" ht="15" hidden="0" customHeight="1">
      <x:c r="A24" t="n">
        <x:v>1023</x:v>
      </x:c>
      <x:c r="B24" t="str">
        <x:v>Task</x:v>
      </x:c>
      <x:c r="C24" t="str">
        <x:v>Closed</x:v>
      </x:c>
      <x:c r="D24" t="str">
        <x:v>Done</x:v>
      </x:c>
      <x:c r="E24" t="str">
        <x:v>Sarah Patel</x:v>
      </x:c>
      <x:c r="F24" t="str">
        <x:v>Medium</x:v>
      </x:c>
      <x:c r="G24" t="n">
        <x:v>0</x:v>
      </x:c>
      <x:c r="H24" t="n">
        <x:v>3</x:v>
      </x:c>
      <x:c r="I24" t="n">
        <x:v>0</x:v>
      </x:c>
      <x:c r="J24" t="n">
        <x:v>3</x:v>
      </x:c>
      <x:c r="K24" s="25" t="n">
        <x:v>1</x:v>
      </x:c>
      <x:c r="L24" t="str">
        <x:v>Sprint 2026-06</x:v>
      </x:c>
      <x:c r="M24" t="str">
        <x:v>Stop and Search Summary</x:v>
      </x:c>
      <x:c r="N24" t="str">
        <x:v>PROD - Stop and Search Semantic Model</x:v>
      </x:c>
      <x:c r="O24" t="str">
        <x:v>Analyst Report Workspace</x:v>
      </x:c>
      <x:c r="P24" s="29" t="n">
        <x:v>46192</x:v>
      </x:c>
      <x:c r="Q24" s="29" t="n">
        <x:v>46198</x:v>
      </x:c>
      <x:c r="R24" t="n">
        <x:v>1</x:v>
      </x:c>
      <x:c r="S24" t="n">
        <x:v>1</x:v>
      </x:c>
      <x:c r="T24" t="n">
        <x:v>5</x:v>
      </x:c>
    </x:row>
    <x:row r="25" ht="15" hidden="0" customHeight="1">
      <x:c r="A25" t="n">
        <x:v>1024</x:v>
      </x:c>
      <x:c r="B25" t="str">
        <x:v>Task</x:v>
      </x:c>
      <x:c r="C25" t="str">
        <x:v>Active</x:v>
      </x:c>
      <x:c r="D25" t="str">
        <x:v>Doing</x:v>
      </x:c>
      <x:c r="E25" t="str">
        <x:v>Sarah Patel</x:v>
      </x:c>
      <x:c r="F25" t="str">
        <x:v>Medium</x:v>
      </x:c>
      <x:c r="G25" t="n">
        <x:v>0</x:v>
      </x:c>
      <x:c r="H25" t="n">
        <x:v>3</x:v>
      </x:c>
      <x:c r="I25" t="n">
        <x:v>2</x:v>
      </x:c>
      <x:c r="J25" t="n">
        <x:v>1</x:v>
      </x:c>
      <x:c r="K25" s="25" t="n">
        <x:v>0.33</x:v>
      </x:c>
      <x:c r="L25" t="str">
        <x:v>Sprint 2026-06</x:v>
      </x:c>
      <x:c r="M25" t="str">
        <x:v>Stop and Search Summary</x:v>
      </x:c>
      <x:c r="N25" t="str">
        <x:v>PROD - Stop and Search Semantic Model</x:v>
      </x:c>
      <x:c r="O25" t="str">
        <x:v>Analyst Report Workspace</x:v>
      </x:c>
      <x:c r="P25" s="29" t="n">
        <x:v>46188</x:v>
      </x:c>
      <x:c r="Q25" s="29" t="n">
        <x:v>46198</x:v>
      </x:c>
      <x:c r="R25" t="n">
        <x:v>1</x:v>
      </x:c>
      <x:c r="S25" t="n">
        <x:v>0</x:v>
      </x:c>
      <x:c r="T25" t="n">
        <x:v>9</x:v>
      </x:c>
    </x:row>
    <x:row r="26" ht="15" hidden="0" customHeight="1">
      <x:c r="A26" t="n">
        <x:v>1025</x:v>
      </x:c>
      <x:c r="B26" t="str">
        <x:v>Task</x:v>
      </x:c>
      <x:c r="C26" t="str">
        <x:v>Resolved</x:v>
      </x:c>
      <x:c r="D26" t="str">
        <x:v>Review</x:v>
      </x:c>
      <x:c r="E26" t="str">
        <x:v>Sarah Patel</x:v>
      </x:c>
      <x:c r="F26" t="str">
        <x:v>Medium</x:v>
      </x:c>
      <x:c r="G26" t="n">
        <x:v>0</x:v>
      </x:c>
      <x:c r="H26" t="n">
        <x:v>2</x:v>
      </x:c>
      <x:c r="I26" t="n">
        <x:v>1</x:v>
      </x:c>
      <x:c r="J26" t="n">
        <x:v>1</x:v>
      </x:c>
      <x:c r="K26" s="25" t="n">
        <x:v>0.5</x:v>
      </x:c>
      <x:c r="L26" t="str">
        <x:v>Sprint 2026-06</x:v>
      </x:c>
      <x:c r="M26" t="str">
        <x:v>Stop and Search Summary</x:v>
      </x:c>
      <x:c r="N26" t="str">
        <x:v>PROD - Stop and Search Semantic Model</x:v>
      </x:c>
      <x:c r="O26" t="str">
        <x:v>Analyst Report Workspace</x:v>
      </x:c>
      <x:c r="P26" s="29" t="n">
        <x:v>46189</x:v>
      </x:c>
      <x:c r="Q26" s="29" t="n">
        <x:v>46198</x:v>
      </x:c>
      <x:c r="R26" t="n">
        <x:v>1</x:v>
      </x:c>
      <x:c r="S26" t="n">
        <x:v>0</x:v>
      </x:c>
      <x:c r="T26" t="n">
        <x:v>8</x:v>
      </x:c>
    </x:row>
    <x:row r="27" ht="15" hidden="0" customHeight="1">
      <x:c r="A27" t="n">
        <x:v>1026</x:v>
      </x:c>
      <x:c r="B27" t="str">
        <x:v>User Story</x:v>
      </x:c>
      <x:c r="C27" t="str">
        <x:v>Resolved</x:v>
      </x:c>
      <x:c r="D27" t="str">
        <x:v>Review</x:v>
      </x:c>
      <x:c r="E27" t="str">
        <x:v>Amelia Brown</x:v>
      </x:c>
      <x:c r="F27" t="str">
        <x:v>High</x:v>
      </x:c>
      <x:c r="G27" t="n">
        <x:v>3</x:v>
      </x:c>
      <x:c r="H27" t="n">
        <x:v>6</x:v>
      </x:c>
      <x:c r="I27" t="n">
        <x:v>2</x:v>
      </x:c>
      <x:c r="J27" t="n">
        <x:v>4</x:v>
      </x:c>
      <x:c r="K27" s="25" t="n">
        <x:v>0.67</x:v>
      </x:c>
      <x:c r="L27" t="str">
        <x:v>Sprint 2026-06</x:v>
      </x:c>
      <x:c r="M27" t="str">
        <x:v>Operational Demand Dashboard</x:v>
      </x:c>
      <x:c r="N27" t="str">
        <x:v>PROD - Incident Reporting Semantic Model</x:v>
      </x:c>
      <x:c r="O27" t="str">
        <x:v>Analyst Report Workspace</x:v>
      </x:c>
      <x:c r="P27" s="29" t="n">
        <x:v>46189</x:v>
      </x:c>
      <x:c r="Q27" s="29" t="n">
        <x:v>46198</x:v>
      </x:c>
      <x:c r="R27" t="n">
        <x:v>1</x:v>
      </x:c>
      <x:c r="S27" t="n">
        <x:v>0</x:v>
      </x:c>
      <x:c r="T27" t="n">
        <x:v>8</x:v>
      </x:c>
    </x:row>
    <x:row r="28" ht="15" hidden="0" customHeight="1">
      <x:c r="A28" t="n">
        <x:v>1027</x:v>
      </x:c>
      <x:c r="B28" t="str">
        <x:v>Task</x:v>
      </x:c>
      <x:c r="C28" t="str">
        <x:v>Active</x:v>
      </x:c>
      <x:c r="D28" t="str">
        <x:v>Doing</x:v>
      </x:c>
      <x:c r="E28" t="str">
        <x:v>Amelia Brown</x:v>
      </x:c>
      <x:c r="F28" t="str">
        <x:v>High</x:v>
      </x:c>
      <x:c r="G28" t="n">
        <x:v>0</x:v>
      </x:c>
      <x:c r="H28" t="n">
        <x:v>3</x:v>
      </x:c>
      <x:c r="I28" t="n">
        <x:v>2</x:v>
      </x:c>
      <x:c r="J28" t="n">
        <x:v>1</x:v>
      </x:c>
      <x:c r="K28" s="25" t="n">
        <x:v>0.33</x:v>
      </x:c>
      <x:c r="L28" t="str">
        <x:v>Sprint 2026-06</x:v>
      </x:c>
      <x:c r="M28" t="str">
        <x:v>Operational Demand Dashboard</x:v>
      </x:c>
      <x:c r="N28" t="str">
        <x:v>PROD - Incident Reporting Semantic Model</x:v>
      </x:c>
      <x:c r="O28" t="str">
        <x:v>Analyst Report Workspace</x:v>
      </x:c>
      <x:c r="P28" s="29" t="n">
        <x:v>46188</x:v>
      </x:c>
      <x:c r="Q28" s="29" t="n">
        <x:v>46198</x:v>
      </x:c>
      <x:c r="R28" t="n">
        <x:v>1</x:v>
      </x:c>
      <x:c r="S28" t="n">
        <x:v>0</x:v>
      </x:c>
      <x:c r="T28" t="n">
        <x:v>9</x:v>
      </x:c>
    </x:row>
    <x:row r="29" ht="15" hidden="0" customHeight="1">
      <x:c r="A29" t="n">
        <x:v>1028</x:v>
      </x:c>
      <x:c r="B29" t="str">
        <x:v>Task</x:v>
      </x:c>
      <x:c r="C29" t="str">
        <x:v>Resolved</x:v>
      </x:c>
      <x:c r="D29" t="str">
        <x:v>Review</x:v>
      </x:c>
      <x:c r="E29" t="str">
        <x:v>Amelia Brown</x:v>
      </x:c>
      <x:c r="F29" t="str">
        <x:v>High</x:v>
      </x:c>
      <x:c r="G29" t="n">
        <x:v>0</x:v>
      </x:c>
      <x:c r="H29" t="n">
        <x:v>3</x:v>
      </x:c>
      <x:c r="I29" t="n">
        <x:v>1</x:v>
      </x:c>
      <x:c r="J29" t="n">
        <x:v>2</x:v>
      </x:c>
      <x:c r="K29" s="25" t="n">
        <x:v>0.67</x:v>
      </x:c>
      <x:c r="L29" t="str">
        <x:v>Sprint 2026-06</x:v>
      </x:c>
      <x:c r="M29" t="str">
        <x:v>Operational Demand Dashboard</x:v>
      </x:c>
      <x:c r="N29" t="str">
        <x:v>PROD - Incident Reporting Semantic Model</x:v>
      </x:c>
      <x:c r="O29" t="str">
        <x:v>Analyst Report Workspace</x:v>
      </x:c>
      <x:c r="P29" s="29" t="n">
        <x:v>46189</x:v>
      </x:c>
      <x:c r="Q29" s="29" t="n">
        <x:v>46198</x:v>
      </x:c>
      <x:c r="R29" t="n">
        <x:v>1</x:v>
      </x:c>
      <x:c r="S29" t="n">
        <x:v>0</x:v>
      </x:c>
      <x:c r="T29" t="n">
        <x:v>8</x:v>
      </x:c>
    </x:row>
    <x:row r="30" ht="15" hidden="0" customHeight="1">
      <x:c r="A30" t="n">
        <x:v>1029</x:v>
      </x:c>
      <x:c r="B30" t="str">
        <x:v>Task</x:v>
      </x:c>
      <x:c r="C30" t="str">
        <x:v>New</x:v>
      </x:c>
      <x:c r="D30" t="str">
        <x:v>To Do</x:v>
      </x:c>
      <x:c r="E30" t="str">
        <x:v>Amelia Brown</x:v>
      </x:c>
      <x:c r="F30" t="str">
        <x:v>High</x:v>
      </x:c>
      <x:c r="G30" t="n">
        <x:v>0</x:v>
      </x:c>
      <x:c r="H30" t="n">
        <x:v>2</x:v>
      </x:c>
      <x:c r="I30" t="n">
        <x:v>2</x:v>
      </x:c>
      <x:c r="J30" t="n">
        <x:v>0</x:v>
      </x:c>
      <x:c r="K30" s="25" t="n">
        <x:v>0</x:v>
      </x:c>
      <x:c r="L30" t="str">
        <x:v>Sprint 2026-06</x:v>
      </x:c>
      <x:c r="M30" t="str">
        <x:v>Operational Demand Dashboard</x:v>
      </x:c>
      <x:c r="N30" t="str">
        <x:v>PROD - Incident Reporting Semantic Model</x:v>
      </x:c>
      <x:c r="O30" t="str">
        <x:v>Analyst Report Workspace</x:v>
      </x:c>
      <x:c r="P30" s="29" t="n">
        <x:v>46190</x:v>
      </x:c>
      <x:c r="Q30" s="29" t="n">
        <x:v>46198</x:v>
      </x:c>
      <x:c r="R30" t="n">
        <x:v>1</x:v>
      </x:c>
      <x:c r="S30" t="n">
        <x:v>0</x:v>
      </x:c>
      <x:c r="T30" t="n">
        <x:v>7</x:v>
      </x:c>
    </x:row>
    <x:row r="31" ht="15" hidden="0" customHeight="1">
      <x:c r="A31" t="n">
        <x:v>1030</x:v>
      </x:c>
      <x:c r="B31" t="str">
        <x:v>User Story</x:v>
      </x:c>
      <x:c r="C31" t="str">
        <x:v>Closed</x:v>
      </x:c>
      <x:c r="D31" t="str">
        <x:v>Done</x:v>
      </x:c>
      <x:c r="E31" t="str">
        <x:v>Sarah Patel</x:v>
      </x:c>
      <x:c r="F31" t="str">
        <x:v>Medium</x:v>
      </x:c>
      <x:c r="G31" t="n">
        <x:v>3</x:v>
      </x:c>
      <x:c r="H31" t="n">
        <x:v>6</x:v>
      </x:c>
      <x:c r="I31" t="n">
        <x:v>0</x:v>
      </x:c>
      <x:c r="J31" t="n">
        <x:v>6</x:v>
      </x:c>
      <x:c r="K31" s="25" t="n">
        <x:v>1</x:v>
      </x:c>
      <x:c r="L31" t="str">
        <x:v>Sprint 2026-06</x:v>
      </x:c>
      <x:c r="M31" t="str">
        <x:v>All Reporting Packs</x:v>
      </x:c>
      <x:c r="N31" t="str">
        <x:v>PROD - Approved Semantic Models</x:v>
      </x:c>
      <x:c r="O31" t="str">
        <x:v>Analyst Report Workspace</x:v>
      </x:c>
      <x:c r="P31" s="29" t="n">
        <x:v>46190</x:v>
      </x:c>
      <x:c r="Q31" s="29" t="n">
        <x:v>46198</x:v>
      </x:c>
      <x:c r="R31" t="n">
        <x:v>1</x:v>
      </x:c>
      <x:c r="S31" t="n">
        <x:v>1</x:v>
      </x:c>
      <x:c r="T31" t="n">
        <x:v>7</x:v>
      </x:c>
    </x:row>
    <x:row r="32" ht="15" hidden="0" customHeight="1">
      <x:c r="A32" t="n">
        <x:v>1031</x:v>
      </x:c>
      <x:c r="B32" t="str">
        <x:v>Task</x:v>
      </x:c>
      <x:c r="C32" t="str">
        <x:v>Resolved</x:v>
      </x:c>
      <x:c r="D32" t="str">
        <x:v>Review</x:v>
      </x:c>
      <x:c r="E32" t="str">
        <x:v>Sarah Patel</x:v>
      </x:c>
      <x:c r="F32" t="str">
        <x:v>Medium</x:v>
      </x:c>
      <x:c r="G32" t="n">
        <x:v>0</x:v>
      </x:c>
      <x:c r="H32" t="n">
        <x:v>3</x:v>
      </x:c>
      <x:c r="I32" t="n">
        <x:v>1</x:v>
      </x:c>
      <x:c r="J32" t="n">
        <x:v>2</x:v>
      </x:c>
      <x:c r="K32" s="25" t="n">
        <x:v>0.67</x:v>
      </x:c>
      <x:c r="L32" t="str">
        <x:v>Sprint 2026-06</x:v>
      </x:c>
      <x:c r="M32" t="str">
        <x:v>All Reporting Packs</x:v>
      </x:c>
      <x:c r="N32" t="str">
        <x:v>PROD - Approved Semantic Models</x:v>
      </x:c>
      <x:c r="O32" t="str">
        <x:v>Analyst Report Workspace</x:v>
      </x:c>
      <x:c r="P32" s="29" t="n">
        <x:v>46189</x:v>
      </x:c>
      <x:c r="Q32" s="29" t="n">
        <x:v>46198</x:v>
      </x:c>
      <x:c r="R32" t="n">
        <x:v>1</x:v>
      </x:c>
      <x:c r="S32" t="n">
        <x:v>0</x:v>
      </x:c>
      <x:c r="T32" t="n">
        <x:v>8</x:v>
      </x:c>
    </x:row>
    <x:row r="33" ht="15" hidden="0" customHeight="1">
      <x:c r="A33" t="n">
        <x:v>1032</x:v>
      </x:c>
      <x:c r="B33" t="str">
        <x:v>Task</x:v>
      </x:c>
      <x:c r="C33" t="str">
        <x:v>New</x:v>
      </x:c>
      <x:c r="D33" t="str">
        <x:v>To Do</x:v>
      </x:c>
      <x:c r="E33" t="str">
        <x:v>Sarah Patel</x:v>
      </x:c>
      <x:c r="F33" t="str">
        <x:v>Medium</x:v>
      </x:c>
      <x:c r="G33" t="n">
        <x:v>0</x:v>
      </x:c>
      <x:c r="H33" t="n">
        <x:v>3</x:v>
      </x:c>
      <x:c r="I33" t="n">
        <x:v>3</x:v>
      </x:c>
      <x:c r="J33" t="n">
        <x:v>0</x:v>
      </x:c>
      <x:c r="K33" s="25" t="n">
        <x:v>0</x:v>
      </x:c>
      <x:c r="L33" t="str">
        <x:v>Sprint 2026-06</x:v>
      </x:c>
      <x:c r="M33" t="str">
        <x:v>All Reporting Packs</x:v>
      </x:c>
      <x:c r="N33" t="str">
        <x:v>PROD - Approved Semantic Models</x:v>
      </x:c>
      <x:c r="O33" t="str">
        <x:v>Analyst Report Workspace</x:v>
      </x:c>
      <x:c r="P33" s="29" t="n">
        <x:v>46190</x:v>
      </x:c>
      <x:c r="Q33" s="29" t="n">
        <x:v>46198</x:v>
      </x:c>
      <x:c r="R33" t="n">
        <x:v>1</x:v>
      </x:c>
      <x:c r="S33" t="n">
        <x:v>0</x:v>
      </x:c>
      <x:c r="T33" t="n">
        <x:v>7</x:v>
      </x:c>
    </x:row>
    <x:row r="34" ht="15" hidden="0" customHeight="1">
      <x:c r="A34" t="n">
        <x:v>1033</x:v>
      </x:c>
      <x:c r="B34" t="str">
        <x:v>Task</x:v>
      </x:c>
      <x:c r="C34" t="str">
        <x:v>Closed</x:v>
      </x:c>
      <x:c r="D34" t="str">
        <x:v>Done</x:v>
      </x:c>
      <x:c r="E34" t="str">
        <x:v>Sarah Patel</x:v>
      </x:c>
      <x:c r="F34" t="str">
        <x:v>Medium</x:v>
      </x:c>
      <x:c r="G34" t="n">
        <x:v>0</x:v>
      </x:c>
      <x:c r="H34" t="n">
        <x:v>2</x:v>
      </x:c>
      <x:c r="I34" t="n">
        <x:v>0</x:v>
      </x:c>
      <x:c r="J34" t="n">
        <x:v>2</x:v>
      </x:c>
      <x:c r="K34" s="25" t="n">
        <x:v>1</x:v>
      </x:c>
      <x:c r="L34" t="str">
        <x:v>Sprint 2026-06</x:v>
      </x:c>
      <x:c r="M34" t="str">
        <x:v>All Reporting Packs</x:v>
      </x:c>
      <x:c r="N34" t="str">
        <x:v>PROD - Approved Semantic Models</x:v>
      </x:c>
      <x:c r="O34" t="str">
        <x:v>Analyst Report Workspace</x:v>
      </x:c>
      <x:c r="P34" s="29" t="n">
        <x:v>46191</x:v>
      </x:c>
      <x:c r="Q34" s="29" t="n">
        <x:v>46198</x:v>
      </x:c>
      <x:c r="R34" t="n">
        <x:v>1</x:v>
      </x:c>
      <x:c r="S34" t="n">
        <x:v>1</x:v>
      </x:c>
      <x:c r="T34" t="n">
        <x:v>6</x:v>
      </x:c>
    </x:row>
    <x:row r="35" ht="15" hidden="0" customHeight="1">
      <x:c r="A35" t="n">
        <x:v>1034</x:v>
      </x:c>
      <x:c r="B35" t="str">
        <x:v>User Story</x:v>
      </x:c>
      <x:c r="C35" t="str">
        <x:v>New</x:v>
      </x:c>
      <x:c r="D35" t="str">
        <x:v>To Do</x:v>
      </x:c>
      <x:c r="E35" t="str">
        <x:v>Kishore K</x:v>
      </x:c>
      <x:c r="F35" t="str">
        <x:v>Medium</x:v>
      </x:c>
      <x:c r="G35" t="n">
        <x:v>2</x:v>
      </x:c>
      <x:c r="H35" t="n">
        <x:v>4</x:v>
      </x:c>
      <x:c r="I35" t="n">
        <x:v>4</x:v>
      </x:c>
      <x:c r="J35" t="n">
        <x:v>0</x:v>
      </x:c>
      <x:c r="K35" s="25" t="n">
        <x:v>0</x:v>
      </x:c>
      <x:c r="L35" t="str">
        <x:v>Sprint 2026-06</x:v>
      </x:c>
      <x:c r="M35" t="str">
        <x:v>All Reporting Packs</x:v>
      </x:c>
      <x:c r="N35" t="str">
        <x:v>PROD - Approved Semantic Models</x:v>
      </x:c>
      <x:c r="O35" t="str">
        <x:v>Analyst Report Workspace</x:v>
      </x:c>
      <x:c r="P35" s="29" t="n">
        <x:v>46191</x:v>
      </x:c>
      <x:c r="Q35" s="29" t="n">
        <x:v>46198</x:v>
      </x:c>
      <x:c r="R35" t="n">
        <x:v>1</x:v>
      </x:c>
      <x:c r="S35" t="n">
        <x:v>0</x:v>
      </x:c>
      <x:c r="T35" t="n">
        <x:v>6</x:v>
      </x:c>
    </x:row>
    <x:row r="36" ht="15" hidden="0" customHeight="1">
      <x:c r="A36" t="n">
        <x:v>1035</x:v>
      </x:c>
      <x:c r="B36" t="str">
        <x:v>Task</x:v>
      </x:c>
      <x:c r="C36" t="str">
        <x:v>New</x:v>
      </x:c>
      <x:c r="D36" t="str">
        <x:v>To Do</x:v>
      </x:c>
      <x:c r="E36" t="str">
        <x:v>Kishore K</x:v>
      </x:c>
      <x:c r="F36" t="str">
        <x:v>Medium</x:v>
      </x:c>
      <x:c r="G36" t="n">
        <x:v>0</x:v>
      </x:c>
      <x:c r="H36" t="n">
        <x:v>3</x:v>
      </x:c>
      <x:c r="I36" t="n">
        <x:v>3</x:v>
      </x:c>
      <x:c r="J36" t="n">
        <x:v>0</x:v>
      </x:c>
      <x:c r="K36" s="25" t="n">
        <x:v>0</x:v>
      </x:c>
      <x:c r="L36" t="str">
        <x:v>Sprint 2026-06</x:v>
      </x:c>
      <x:c r="M36" t="str">
        <x:v>All Reporting Packs</x:v>
      </x:c>
      <x:c r="N36" t="str">
        <x:v>PROD - Approved Semantic Models</x:v>
      </x:c>
      <x:c r="O36" t="str">
        <x:v>Analyst Report Workspace</x:v>
      </x:c>
      <x:c r="P36" s="29" t="n">
        <x:v>46190</x:v>
      </x:c>
      <x:c r="Q36" s="29" t="n">
        <x:v>46198</x:v>
      </x:c>
      <x:c r="R36" t="n">
        <x:v>1</x:v>
      </x:c>
      <x:c r="S36" t="n">
        <x:v>0</x:v>
      </x:c>
      <x:c r="T36" t="n">
        <x:v>7</x:v>
      </x:c>
    </x:row>
    <x:row r="37" ht="15" hidden="0" customHeight="1">
      <x:c r="A37" t="n">
        <x:v>1036</x:v>
      </x:c>
      <x:c r="B37" t="str">
        <x:v>Task</x:v>
      </x:c>
      <x:c r="C37" t="str">
        <x:v>Closed</x:v>
      </x:c>
      <x:c r="D37" t="str">
        <x:v>Done</x:v>
      </x:c>
      <x:c r="E37" t="str">
        <x:v>Kishore K</x:v>
      </x:c>
      <x:c r="F37" t="str">
        <x:v>Medium</x:v>
      </x:c>
      <x:c r="G37" t="n">
        <x:v>0</x:v>
      </x:c>
      <x:c r="H37" t="n">
        <x:v>3</x:v>
      </x:c>
      <x:c r="I37" t="n">
        <x:v>0</x:v>
      </x:c>
      <x:c r="J37" t="n">
        <x:v>3</x:v>
      </x:c>
      <x:c r="K37" s="25" t="n">
        <x:v>1</x:v>
      </x:c>
      <x:c r="L37" t="str">
        <x:v>Sprint 2026-06</x:v>
      </x:c>
      <x:c r="M37" t="str">
        <x:v>All Reporting Packs</x:v>
      </x:c>
      <x:c r="N37" t="str">
        <x:v>PROD - Approved Semantic Models</x:v>
      </x:c>
      <x:c r="O37" t="str">
        <x:v>Analyst Report Workspace</x:v>
      </x:c>
      <x:c r="P37" s="29" t="n">
        <x:v>46191</x:v>
      </x:c>
      <x:c r="Q37" s="29" t="n">
        <x:v>46198</x:v>
      </x:c>
      <x:c r="R37" t="n">
        <x:v>1</x:v>
      </x:c>
      <x:c r="S37" t="n">
        <x:v>1</x:v>
      </x:c>
      <x:c r="T37" t="n">
        <x:v>6</x:v>
      </x:c>
    </x:row>
    <x:row r="38" ht="15" hidden="0" customHeight="1">
      <x:c r="A38" t="n">
        <x:v>1037</x:v>
      </x:c>
      <x:c r="B38" t="str">
        <x:v>Task</x:v>
      </x:c>
      <x:c r="C38" t="str">
        <x:v>Active</x:v>
      </x:c>
      <x:c r="D38" t="str">
        <x:v>Doing</x:v>
      </x:c>
      <x:c r="E38" t="str">
        <x:v>Kishore K</x:v>
      </x:c>
      <x:c r="F38" t="str">
        <x:v>Medium</x:v>
      </x:c>
      <x:c r="G38" t="n">
        <x:v>0</x:v>
      </x:c>
      <x:c r="H38" t="n">
        <x:v>2</x:v>
      </x:c>
      <x:c r="I38" t="n">
        <x:v>1</x:v>
      </x:c>
      <x:c r="J38" t="n">
        <x:v>1</x:v>
      </x:c>
      <x:c r="K38" s="25" t="n">
        <x:v>0.5</x:v>
      </x:c>
      <x:c r="L38" t="str">
        <x:v>Sprint 2026-06</x:v>
      </x:c>
      <x:c r="M38" t="str">
        <x:v>All Reporting Packs</x:v>
      </x:c>
      <x:c r="N38" t="str">
        <x:v>PROD - Approved Semantic Models</x:v>
      </x:c>
      <x:c r="O38" t="str">
        <x:v>Analyst Report Workspace</x:v>
      </x:c>
      <x:c r="P38" s="29" t="n">
        <x:v>46192</x:v>
      </x:c>
      <x:c r="Q38" s="29" t="n">
        <x:v>46198</x:v>
      </x:c>
      <x:c r="R38" t="n">
        <x:v>1</x:v>
      </x:c>
      <x:c r="S38" t="n">
        <x:v>0</x:v>
      </x:c>
      <x:c r="T38" t="n">
        <x:v>5</x:v>
      </x:c>
    </x:row>
    <x:row r="39" ht="15" hidden="0" customHeight="1">
      <x:c r="A39" t="n">
        <x:v>1038</x:v>
      </x:c>
      <x:c r="B39" t="str">
        <x:v>User Story</x:v>
      </x:c>
      <x:c r="C39" t="str">
        <x:v>Active</x:v>
      </x:c>
      <x:c r="D39" t="str">
        <x:v>Doing</x:v>
      </x:c>
      <x:c r="E39" t="str">
        <x:v>Daniel Carter</x:v>
      </x:c>
      <x:c r="F39" t="str">
        <x:v>High</x:v>
      </x:c>
      <x:c r="G39" t="n">
        <x:v>5</x:v>
      </x:c>
      <x:c r="H39" t="n">
        <x:v>10</x:v>
      </x:c>
      <x:c r="I39" t="n">
        <x:v>6</x:v>
      </x:c>
      <x:c r="J39" t="n">
        <x:v>4</x:v>
      </x:c>
      <x:c r="K39" s="25" t="n">
        <x:v>0.4</x:v>
      </x:c>
      <x:c r="L39" t="str">
        <x:v>Sprint 2026-06</x:v>
      </x:c>
      <x:c r="M39" t="str">
        <x:v>DevOps Reporting Board</x:v>
      </x:c>
      <x:c r="N39" t="str">
        <x:v>Azure DevOps Work Items</x:v>
      </x:c>
      <x:c r="O39" t="str">
        <x:v>Analyst Report Workspace</x:v>
      </x:c>
      <x:c r="P39" s="29" t="n">
        <x:v>46188</x:v>
      </x:c>
      <x:c r="Q39" s="29" t="n">
        <x:v>46198</x:v>
      </x:c>
      <x:c r="R39" t="n">
        <x:v>1</x:v>
      </x:c>
      <x:c r="S39" t="n">
        <x:v>0</x:v>
      </x:c>
      <x:c r="T39" t="n">
        <x:v>9</x:v>
      </x:c>
    </x:row>
    <x:row r="40" ht="15" hidden="0" customHeight="1">
      <x:c r="A40" t="n">
        <x:v>1039</x:v>
      </x:c>
      <x:c r="B40" t="str">
        <x:v>Task</x:v>
      </x:c>
      <x:c r="C40" t="str">
        <x:v>Closed</x:v>
      </x:c>
      <x:c r="D40" t="str">
        <x:v>Done</x:v>
      </x:c>
      <x:c r="E40" t="str">
        <x:v>Daniel Carter</x:v>
      </x:c>
      <x:c r="F40" t="str">
        <x:v>High</x:v>
      </x:c>
      <x:c r="G40" t="n">
        <x:v>0</x:v>
      </x:c>
      <x:c r="H40" t="n">
        <x:v>3</x:v>
      </x:c>
      <x:c r="I40" t="n">
        <x:v>0</x:v>
      </x:c>
      <x:c r="J40" t="n">
        <x:v>3</x:v>
      </x:c>
      <x:c r="K40" s="25" t="n">
        <x:v>1</x:v>
      </x:c>
      <x:c r="L40" t="str">
        <x:v>Sprint 2026-06</x:v>
      </x:c>
      <x:c r="M40" t="str">
        <x:v>DevOps Reporting Board</x:v>
      </x:c>
      <x:c r="N40" t="str">
        <x:v>Azure DevOps Work Items</x:v>
      </x:c>
      <x:c r="O40" t="str">
        <x:v>Analyst Report Workspace</x:v>
      </x:c>
      <x:c r="P40" s="29" t="n">
        <x:v>46191</x:v>
      </x:c>
      <x:c r="Q40" s="29" t="n">
        <x:v>46198</x:v>
      </x:c>
      <x:c r="R40" t="n">
        <x:v>1</x:v>
      </x:c>
      <x:c r="S40" t="n">
        <x:v>1</x:v>
      </x:c>
      <x:c r="T40" t="n">
        <x:v>6</x:v>
      </x:c>
    </x:row>
    <x:row r="41" ht="15" hidden="0" customHeight="1">
      <x:c r="A41" t="n">
        <x:v>1040</x:v>
      </x:c>
      <x:c r="B41" t="str">
        <x:v>Task</x:v>
      </x:c>
      <x:c r="C41" t="str">
        <x:v>Active</x:v>
      </x:c>
      <x:c r="D41" t="str">
        <x:v>Doing</x:v>
      </x:c>
      <x:c r="E41" t="str">
        <x:v>Daniel Carter</x:v>
      </x:c>
      <x:c r="F41" t="str">
        <x:v>High</x:v>
      </x:c>
      <x:c r="G41" t="n">
        <x:v>0</x:v>
      </x:c>
      <x:c r="H41" t="n">
        <x:v>3</x:v>
      </x:c>
      <x:c r="I41" t="n">
        <x:v>2</x:v>
      </x:c>
      <x:c r="J41" t="n">
        <x:v>1</x:v>
      </x:c>
      <x:c r="K41" s="25" t="n">
        <x:v>0.33</x:v>
      </x:c>
      <x:c r="L41" t="str">
        <x:v>Sprint 2026-06</x:v>
      </x:c>
      <x:c r="M41" t="str">
        <x:v>DevOps Reporting Board</x:v>
      </x:c>
      <x:c r="N41" t="str">
        <x:v>Azure DevOps Work Items</x:v>
      </x:c>
      <x:c r="O41" t="str">
        <x:v>Analyst Report Workspace</x:v>
      </x:c>
      <x:c r="P41" s="29" t="n">
        <x:v>46192</x:v>
      </x:c>
      <x:c r="Q41" s="29" t="n">
        <x:v>46198</x:v>
      </x:c>
      <x:c r="R41" t="n">
        <x:v>1</x:v>
      </x:c>
      <x:c r="S41" t="n">
        <x:v>0</x:v>
      </x:c>
      <x:c r="T41" t="n">
        <x:v>5</x:v>
      </x:c>
    </x:row>
    <x:row r="42" ht="15" hidden="0" customHeight="1">
      <x:c r="A42" t="n">
        <x:v>1041</x:v>
      </x:c>
      <x:c r="B42" t="str">
        <x:v>Task</x:v>
      </x:c>
      <x:c r="C42" t="str">
        <x:v>Resolved</x:v>
      </x:c>
      <x:c r="D42" t="str">
        <x:v>Review</x:v>
      </x:c>
      <x:c r="E42" t="str">
        <x:v>Daniel Carter</x:v>
      </x:c>
      <x:c r="F42" t="str">
        <x:v>High</x:v>
      </x:c>
      <x:c r="G42" t="n">
        <x:v>0</x:v>
      </x:c>
      <x:c r="H42" t="n">
        <x:v>2</x:v>
      </x:c>
      <x:c r="I42" t="n">
        <x:v>1</x:v>
      </x:c>
      <x:c r="J42" t="n">
        <x:v>1</x:v>
      </x:c>
      <x:c r="K42" s="25" t="n">
        <x:v>0.5</x:v>
      </x:c>
      <x:c r="L42" t="str">
        <x:v>Sprint 2026-06</x:v>
      </x:c>
      <x:c r="M42" t="str">
        <x:v>DevOps Reporting Board</x:v>
      </x:c>
      <x:c r="N42" t="str">
        <x:v>Azure DevOps Work Items</x:v>
      </x:c>
      <x:c r="O42" t="str">
        <x:v>Analyst Report Workspace</x:v>
      </x:c>
      <x:c r="P42" s="29" t="n">
        <x:v>46188</x:v>
      </x:c>
      <x:c r="Q42" s="29" t="n">
        <x:v>46198</x:v>
      </x:c>
      <x:c r="R42" t="n">
        <x:v>1</x:v>
      </x:c>
      <x:c r="S42" t="n">
        <x:v>0</x:v>
      </x:c>
      <x:c r="T42" t="n">
        <x:v>9</x:v>
      </x:c>
    </x:row>
    <x:row r="43" ht="15" hidden="0" customHeight="1">
      <x:c r="A43" t="n">
        <x:v>1042</x:v>
      </x:c>
      <x:c r="B43" t="str">
        <x:v>User Story</x:v>
      </x:c>
      <x:c r="C43" t="str">
        <x:v>Resolved</x:v>
      </x:c>
      <x:c r="D43" t="str">
        <x:v>Review</x:v>
      </x:c>
      <x:c r="E43" t="str">
        <x:v>Priya Nair</x:v>
      </x:c>
      <x:c r="F43" t="str">
        <x:v>Medium</x:v>
      </x:c>
      <x:c r="G43" t="n">
        <x:v>3</x:v>
      </x:c>
      <x:c r="H43" t="n">
        <x:v>6</x:v>
      </x:c>
      <x:c r="I43" t="n">
        <x:v>2</x:v>
      </x:c>
      <x:c r="J43" t="n">
        <x:v>4</x:v>
      </x:c>
      <x:c r="K43" s="25" t="n">
        <x:v>0.67</x:v>
      </x:c>
      <x:c r="L43" t="str">
        <x:v>Sprint 2026-06</x:v>
      </x:c>
      <x:c r="M43" t="str">
        <x:v>Sprint Summary Report</x:v>
      </x:c>
      <x:c r="N43" t="str">
        <x:v>Azure DevOps Work Items</x:v>
      </x:c>
      <x:c r="O43" t="str">
        <x:v>Analyst Report Workspace</x:v>
      </x:c>
      <x:c r="P43" s="29" t="n">
        <x:v>46189</x:v>
      </x:c>
      <x:c r="Q43" s="29" t="n">
        <x:v>46198</x:v>
      </x:c>
      <x:c r="R43" t="n">
        <x:v>1</x:v>
      </x:c>
      <x:c r="S43" t="n">
        <x:v>0</x:v>
      </x:c>
      <x:c r="T43" t="n">
        <x:v>8</x:v>
      </x:c>
    </x:row>
    <x:row r="44" ht="15" hidden="0" customHeight="1">
      <x:c r="A44" t="n">
        <x:v>1043</x:v>
      </x:c>
      <x:c r="B44" t="str">
        <x:v>Task</x:v>
      </x:c>
      <x:c r="C44" t="str">
        <x:v>Active</x:v>
      </x:c>
      <x:c r="D44" t="str">
        <x:v>Doing</x:v>
      </x:c>
      <x:c r="E44" t="str">
        <x:v>Priya Nair</x:v>
      </x:c>
      <x:c r="F44" t="str">
        <x:v>Medium</x:v>
      </x:c>
      <x:c r="G44" t="n">
        <x:v>0</x:v>
      </x:c>
      <x:c r="H44" t="n">
        <x:v>3</x:v>
      </x:c>
      <x:c r="I44" t="n">
        <x:v>2</x:v>
      </x:c>
      <x:c r="J44" t="n">
        <x:v>1</x:v>
      </x:c>
      <x:c r="K44" s="25" t="n">
        <x:v>0.33</x:v>
      </x:c>
      <x:c r="L44" t="str">
        <x:v>Sprint 2026-06</x:v>
      </x:c>
      <x:c r="M44" t="str">
        <x:v>Sprint Summary Report</x:v>
      </x:c>
      <x:c r="N44" t="str">
        <x:v>Azure DevOps Work Items</x:v>
      </x:c>
      <x:c r="O44" t="str">
        <x:v>Analyst Report Workspace</x:v>
      </x:c>
      <x:c r="P44" s="29" t="n">
        <x:v>46192</x:v>
      </x:c>
      <x:c r="Q44" s="29" t="n">
        <x:v>46198</x:v>
      </x:c>
      <x:c r="R44" t="n">
        <x:v>1</x:v>
      </x:c>
      <x:c r="S44" t="n">
        <x:v>0</x:v>
      </x:c>
      <x:c r="T44" t="n">
        <x:v>5</x:v>
      </x:c>
    </x:row>
    <x:row r="45" ht="15" hidden="0" customHeight="1">
      <x:c r="A45" t="n">
        <x:v>1044</x:v>
      </x:c>
      <x:c r="B45" t="str">
        <x:v>Task</x:v>
      </x:c>
      <x:c r="C45" t="str">
        <x:v>Resolved</x:v>
      </x:c>
      <x:c r="D45" t="str">
        <x:v>Review</x:v>
      </x:c>
      <x:c r="E45" t="str">
        <x:v>Priya Nair</x:v>
      </x:c>
      <x:c r="F45" t="str">
        <x:v>Medium</x:v>
      </x:c>
      <x:c r="G45" t="n">
        <x:v>0</x:v>
      </x:c>
      <x:c r="H45" t="n">
        <x:v>3</x:v>
      </x:c>
      <x:c r="I45" t="n">
        <x:v>1</x:v>
      </x:c>
      <x:c r="J45" t="n">
        <x:v>2</x:v>
      </x:c>
      <x:c r="K45" s="25" t="n">
        <x:v>0.67</x:v>
      </x:c>
      <x:c r="L45" t="str">
        <x:v>Sprint 2026-06</x:v>
      </x:c>
      <x:c r="M45" t="str">
        <x:v>Sprint Summary Report</x:v>
      </x:c>
      <x:c r="N45" t="str">
        <x:v>Azure DevOps Work Items</x:v>
      </x:c>
      <x:c r="O45" t="str">
        <x:v>Analyst Report Workspace</x:v>
      </x:c>
      <x:c r="P45" s="29" t="n">
        <x:v>46188</x:v>
      </x:c>
      <x:c r="Q45" s="29" t="n">
        <x:v>46198</x:v>
      </x:c>
      <x:c r="R45" t="n">
        <x:v>1</x:v>
      </x:c>
      <x:c r="S45" t="n">
        <x:v>0</x:v>
      </x:c>
      <x:c r="T45" t="n">
        <x:v>9</x:v>
      </x:c>
    </x:row>
    <x:row r="46" ht="15" hidden="0" customHeight="1">
      <x:c r="A46" t="n">
        <x:v>1045</x:v>
      </x:c>
      <x:c r="B46" t="str">
        <x:v>Task</x:v>
      </x:c>
      <x:c r="C46" t="str">
        <x:v>New</x:v>
      </x:c>
      <x:c r="D46" t="str">
        <x:v>To Do</x:v>
      </x:c>
      <x:c r="E46" t="str">
        <x:v>Priya Nair</x:v>
      </x:c>
      <x:c r="F46" t="str">
        <x:v>Medium</x:v>
      </x:c>
      <x:c r="G46" t="n">
        <x:v>0</x:v>
      </x:c>
      <x:c r="H46" t="n">
        <x:v>2</x:v>
      </x:c>
      <x:c r="I46" t="n">
        <x:v>2</x:v>
      </x:c>
      <x:c r="J46" t="n">
        <x:v>0</x:v>
      </x:c>
      <x:c r="K46" s="25" t="n">
        <x:v>0</x:v>
      </x:c>
      <x:c r="L46" t="str">
        <x:v>Sprint 2026-06</x:v>
      </x:c>
      <x:c r="M46" t="str">
        <x:v>Sprint Summary Report</x:v>
      </x:c>
      <x:c r="N46" t="str">
        <x:v>Azure DevOps Work Items</x:v>
      </x:c>
      <x:c r="O46" t="str">
        <x:v>Analyst Report Workspace</x:v>
      </x:c>
      <x:c r="P46" s="29" t="n">
        <x:v>46189</x:v>
      </x:c>
      <x:c r="Q46" s="29" t="n">
        <x:v>46198</x:v>
      </x:c>
      <x:c r="R46" t="n">
        <x:v>1</x:v>
      </x:c>
      <x:c r="S46" t="n">
        <x:v>0</x:v>
      </x:c>
      <x:c r="T46" t="n">
        <x:v>8</x:v>
      </x:c>
    </x:row>
    <x:row r="47" ht="15" hidden="0" customHeight="1">
      <x:c r="A47" t="n">
        <x:v>1046</x:v>
      </x:c>
      <x:c r="B47" t="str">
        <x:v>User Story</x:v>
      </x:c>
      <x:c r="C47" t="str">
        <x:v>Closed</x:v>
      </x:c>
      <x:c r="D47" t="str">
        <x:v>Done</x:v>
      </x:c>
      <x:c r="E47" t="str">
        <x:v>Tom Hughes</x:v>
      </x:c>
      <x:c r="F47" t="str">
        <x:v>Medium</x:v>
      </x:c>
      <x:c r="G47" t="n">
        <x:v>3</x:v>
      </x:c>
      <x:c r="H47" t="n">
        <x:v>6</x:v>
      </x:c>
      <x:c r="I47" t="n">
        <x:v>0</x:v>
      </x:c>
      <x:c r="J47" t="n">
        <x:v>6</x:v>
      </x:c>
      <x:c r="K47" s="25" t="n">
        <x:v>1</x:v>
      </x:c>
      <x:c r="L47" t="str">
        <x:v>Sprint 2026-06</x:v>
      </x:c>
      <x:c r="M47" t="str">
        <x:v>Report Readiness Dashboard</x:v>
      </x:c>
      <x:c r="N47" t="str">
        <x:v>Azure DevOps Work Items</x:v>
      </x:c>
      <x:c r="O47" t="str">
        <x:v>Analyst Report Workspace</x:v>
      </x:c>
      <x:c r="P47" s="29" t="n">
        <x:v>46190</x:v>
      </x:c>
      <x:c r="Q47" s="29" t="n">
        <x:v>46198</x:v>
      </x:c>
      <x:c r="R47" t="n">
        <x:v>1</x:v>
      </x:c>
      <x:c r="S47" t="n">
        <x:v>1</x:v>
      </x:c>
      <x:c r="T47" t="n">
        <x:v>7</x:v>
      </x:c>
    </x:row>
    <x:row r="48" ht="15" hidden="0" customHeight="1">
      <x:c r="A48" t="n">
        <x:v>1047</x:v>
      </x:c>
      <x:c r="B48" t="str">
        <x:v>Task</x:v>
      </x:c>
      <x:c r="C48" t="str">
        <x:v>Resolved</x:v>
      </x:c>
      <x:c r="D48" t="str">
        <x:v>Review</x:v>
      </x:c>
      <x:c r="E48" t="str">
        <x:v>Tom Hughes</x:v>
      </x:c>
      <x:c r="F48" t="str">
        <x:v>Medium</x:v>
      </x:c>
      <x:c r="G48" t="n">
        <x:v>0</x:v>
      </x:c>
      <x:c r="H48" t="n">
        <x:v>3</x:v>
      </x:c>
      <x:c r="I48" t="n">
        <x:v>1</x:v>
      </x:c>
      <x:c r="J48" t="n">
        <x:v>2</x:v>
      </x:c>
      <x:c r="K48" s="25" t="n">
        <x:v>0.67</x:v>
      </x:c>
      <x:c r="L48" t="str">
        <x:v>Sprint 2026-06</x:v>
      </x:c>
      <x:c r="M48" t="str">
        <x:v>Report Readiness Dashboard</x:v>
      </x:c>
      <x:c r="N48" t="str">
        <x:v>Azure DevOps Work Items</x:v>
      </x:c>
      <x:c r="O48" t="str">
        <x:v>Analyst Report Workspace</x:v>
      </x:c>
      <x:c r="P48" s="29" t="n">
        <x:v>46188</x:v>
      </x:c>
      <x:c r="Q48" s="29" t="n">
        <x:v>46198</x:v>
      </x:c>
      <x:c r="R48" t="n">
        <x:v>1</x:v>
      </x:c>
      <x:c r="S48" t="n">
        <x:v>0</x:v>
      </x:c>
      <x:c r="T48" t="n">
        <x:v>9</x:v>
      </x:c>
    </x:row>
    <x:row r="49" ht="15" hidden="0" customHeight="1">
      <x:c r="A49" t="n">
        <x:v>1048</x:v>
      </x:c>
      <x:c r="B49" t="str">
        <x:v>Task</x:v>
      </x:c>
      <x:c r="C49" t="str">
        <x:v>New</x:v>
      </x:c>
      <x:c r="D49" t="str">
        <x:v>To Do</x:v>
      </x:c>
      <x:c r="E49" t="str">
        <x:v>Tom Hughes</x:v>
      </x:c>
      <x:c r="F49" t="str">
        <x:v>Medium</x:v>
      </x:c>
      <x:c r="G49" t="n">
        <x:v>0</x:v>
      </x:c>
      <x:c r="H49" t="n">
        <x:v>3</x:v>
      </x:c>
      <x:c r="I49" t="n">
        <x:v>3</x:v>
      </x:c>
      <x:c r="J49" t="n">
        <x:v>0</x:v>
      </x:c>
      <x:c r="K49" s="25" t="n">
        <x:v>0</x:v>
      </x:c>
      <x:c r="L49" t="str">
        <x:v>Sprint 2026-06</x:v>
      </x:c>
      <x:c r="M49" t="str">
        <x:v>Report Readiness Dashboard</x:v>
      </x:c>
      <x:c r="N49" t="str">
        <x:v>Azure DevOps Work Items</x:v>
      </x:c>
      <x:c r="O49" t="str">
        <x:v>Analyst Report Workspace</x:v>
      </x:c>
      <x:c r="P49" s="29" t="n">
        <x:v>46189</x:v>
      </x:c>
      <x:c r="Q49" s="29" t="n">
        <x:v>46198</x:v>
      </x:c>
      <x:c r="R49" t="n">
        <x:v>1</x:v>
      </x:c>
      <x:c r="S49" t="n">
        <x:v>0</x:v>
      </x:c>
      <x:c r="T49" t="n">
        <x:v>8</x:v>
      </x:c>
    </x:row>
    <x:row r="50" ht="15" hidden="0" customHeight="1">
      <x:c r="A50" t="n">
        <x:v>1049</x:v>
      </x:c>
      <x:c r="B50" t="str">
        <x:v>Task</x:v>
      </x:c>
      <x:c r="C50" t="str">
        <x:v>Closed</x:v>
      </x:c>
      <x:c r="D50" t="str">
        <x:v>Done</x:v>
      </x:c>
      <x:c r="E50" t="str">
        <x:v>Tom Hughes</x:v>
      </x:c>
      <x:c r="F50" t="str">
        <x:v>Medium</x:v>
      </x:c>
      <x:c r="G50" t="n">
        <x:v>0</x:v>
      </x:c>
      <x:c r="H50" t="n">
        <x:v>2</x:v>
      </x:c>
      <x:c r="I50" t="n">
        <x:v>0</x:v>
      </x:c>
      <x:c r="J50" t="n">
        <x:v>2</x:v>
      </x:c>
      <x:c r="K50" s="25" t="n">
        <x:v>1</x:v>
      </x:c>
      <x:c r="L50" t="str">
        <x:v>Sprint 2026-06</x:v>
      </x:c>
      <x:c r="M50" t="str">
        <x:v>Report Readiness Dashboard</x:v>
      </x:c>
      <x:c r="N50" t="str">
        <x:v>Azure DevOps Work Items</x:v>
      </x:c>
      <x:c r="O50" t="str">
        <x:v>Analyst Report Workspace</x:v>
      </x:c>
      <x:c r="P50" s="29" t="n">
        <x:v>46190</x:v>
      </x:c>
      <x:c r="Q50" s="29" t="n">
        <x:v>46198</x:v>
      </x:c>
      <x:c r="R50" t="n">
        <x:v>1</x:v>
      </x:c>
      <x:c r="S50" t="n">
        <x:v>1</x:v>
      </x:c>
      <x:c r="T50" t="n">
        <x:v>7</x:v>
      </x:c>
    </x:row>
    <x:row r="51" ht="15" hidden="0" customHeight="1">
      <x:c r="A51" t="n">
        <x:v>1050</x:v>
      </x:c>
      <x:c r="B51" t="str">
        <x:v>User Story</x:v>
      </x:c>
      <x:c r="C51" t="str">
        <x:v>New</x:v>
      </x:c>
      <x:c r="D51" t="str">
        <x:v>To Do</x:v>
      </x:c>
      <x:c r="E51" t="str">
        <x:v>Sarah Patel</x:v>
      </x:c>
      <x:c r="F51" t="str">
        <x:v>Low</x:v>
      </x:c>
      <x:c r="G51" t="n">
        <x:v>2</x:v>
      </x:c>
      <x:c r="H51" t="n">
        <x:v>4</x:v>
      </x:c>
      <x:c r="I51" t="n">
        <x:v>4</x:v>
      </x:c>
      <x:c r="J51" t="n">
        <x:v>0</x:v>
      </x:c>
      <x:c r="K51" s="25" t="n">
        <x:v>0</x:v>
      </x:c>
      <x:c r="L51" t="str">
        <x:v>Sprint 2026-06</x:v>
      </x:c>
      <x:c r="M51" t="str">
        <x:v>Reporting App</x:v>
      </x:c>
      <x:c r="N51" t="str">
        <x:v>PROD - Approved Semantic Models</x:v>
      </x:c>
      <x:c r="O51" t="str">
        <x:v>Analyst Report Workspace</x:v>
      </x:c>
      <x:c r="P51" s="29" t="n">
        <x:v>46191</x:v>
      </x:c>
      <x:c r="Q51" s="29" t="n">
        <x:v>46198</x:v>
      </x:c>
      <x:c r="R51" t="n">
        <x:v>1</x:v>
      </x:c>
      <x:c r="S51" t="n">
        <x:v>0</x:v>
      </x:c>
      <x:c r="T51" t="n">
        <x:v>6</x:v>
      </x:c>
    </x:row>
    <x:row r="52" ht="15" hidden="0" customHeight="1">
      <x:c r="A52" t="n">
        <x:v>1051</x:v>
      </x:c>
      <x:c r="B52" t="str">
        <x:v>Task</x:v>
      </x:c>
      <x:c r="C52" t="str">
        <x:v>New</x:v>
      </x:c>
      <x:c r="D52" t="str">
        <x:v>To Do</x:v>
      </x:c>
      <x:c r="E52" t="str">
        <x:v>Sarah Patel</x:v>
      </x:c>
      <x:c r="F52" t="str">
        <x:v>Low</x:v>
      </x:c>
      <x:c r="G52" t="n">
        <x:v>0</x:v>
      </x:c>
      <x:c r="H52" t="n">
        <x:v>3</x:v>
      </x:c>
      <x:c r="I52" t="n">
        <x:v>3</x:v>
      </x:c>
      <x:c r="J52" t="n">
        <x:v>0</x:v>
      </x:c>
      <x:c r="K52" s="25" t="n">
        <x:v>0</x:v>
      </x:c>
      <x:c r="L52" t="str">
        <x:v>Sprint 2026-06</x:v>
      </x:c>
      <x:c r="M52" t="str">
        <x:v>Reporting App</x:v>
      </x:c>
      <x:c r="N52" t="str">
        <x:v>PROD - Approved Semantic Models</x:v>
      </x:c>
      <x:c r="O52" t="str">
        <x:v>Analyst Report Workspace</x:v>
      </x:c>
      <x:c r="P52" s="29" t="n">
        <x:v>46189</x:v>
      </x:c>
      <x:c r="Q52" s="29" t="n">
        <x:v>46198</x:v>
      </x:c>
      <x:c r="R52" t="n">
        <x:v>1</x:v>
      </x:c>
      <x:c r="S52" t="n">
        <x:v>0</x:v>
      </x:c>
      <x:c r="T52" t="n">
        <x:v>8</x:v>
      </x:c>
    </x:row>
    <x:row r="53" ht="15" hidden="0" customHeight="1">
      <x:c r="A53" t="n">
        <x:v>1052</x:v>
      </x:c>
      <x:c r="B53" t="str">
        <x:v>Task</x:v>
      </x:c>
      <x:c r="C53" t="str">
        <x:v>Closed</x:v>
      </x:c>
      <x:c r="D53" t="str">
        <x:v>Done</x:v>
      </x:c>
      <x:c r="E53" t="str">
        <x:v>Sarah Patel</x:v>
      </x:c>
      <x:c r="F53" t="str">
        <x:v>Low</x:v>
      </x:c>
      <x:c r="G53" t="n">
        <x:v>0</x:v>
      </x:c>
      <x:c r="H53" t="n">
        <x:v>3</x:v>
      </x:c>
      <x:c r="I53" t="n">
        <x:v>0</x:v>
      </x:c>
      <x:c r="J53" t="n">
        <x:v>3</x:v>
      </x:c>
      <x:c r="K53" s="25" t="n">
        <x:v>1</x:v>
      </x:c>
      <x:c r="L53" t="str">
        <x:v>Sprint 2026-06</x:v>
      </x:c>
      <x:c r="M53" t="str">
        <x:v>Reporting App</x:v>
      </x:c>
      <x:c r="N53" t="str">
        <x:v>PROD - Approved Semantic Models</x:v>
      </x:c>
      <x:c r="O53" t="str">
        <x:v>Analyst Report Workspace</x:v>
      </x:c>
      <x:c r="P53" s="29" t="n">
        <x:v>46190</x:v>
      </x:c>
      <x:c r="Q53" s="29" t="n">
        <x:v>46198</x:v>
      </x:c>
      <x:c r="R53" t="n">
        <x:v>1</x:v>
      </x:c>
      <x:c r="S53" t="n">
        <x:v>1</x:v>
      </x:c>
      <x:c r="T53" t="n">
        <x:v>7</x:v>
      </x:c>
    </x:row>
    <x:row r="54" ht="15" hidden="0" customHeight="1">
      <x:c r="A54" t="n">
        <x:v>1053</x:v>
      </x:c>
      <x:c r="B54" t="str">
        <x:v>Task</x:v>
      </x:c>
      <x:c r="C54" t="str">
        <x:v>Active</x:v>
      </x:c>
      <x:c r="D54" t="str">
        <x:v>Doing</x:v>
      </x:c>
      <x:c r="E54" t="str">
        <x:v>Sarah Patel</x:v>
      </x:c>
      <x:c r="F54" t="str">
        <x:v>Low</x:v>
      </x:c>
      <x:c r="G54" t="n">
        <x:v>0</x:v>
      </x:c>
      <x:c r="H54" t="n">
        <x:v>2</x:v>
      </x:c>
      <x:c r="I54" t="n">
        <x:v>1</x:v>
      </x:c>
      <x:c r="J54" t="n">
        <x:v>1</x:v>
      </x:c>
      <x:c r="K54" s="25" t="n">
        <x:v>0.5</x:v>
      </x:c>
      <x:c r="L54" t="str">
        <x:v>Sprint 2026-06</x:v>
      </x:c>
      <x:c r="M54" t="str">
        <x:v>Reporting App</x:v>
      </x:c>
      <x:c r="N54" t="str">
        <x:v>PROD - Approved Semantic Models</x:v>
      </x:c>
      <x:c r="O54" t="str">
        <x:v>Analyst Report Workspace</x:v>
      </x:c>
      <x:c r="P54" s="29" t="n">
        <x:v>46191</x:v>
      </x:c>
      <x:c r="Q54" s="29" t="n">
        <x:v>46198</x:v>
      </x:c>
      <x:c r="R54" t="n">
        <x:v>1</x:v>
      </x:c>
      <x:c r="S54" t="n">
        <x:v>0</x:v>
      </x:c>
      <x:c r="T54" t="n">
        <x:v>6</x:v>
      </x:c>
    </x:row>
    <x:row r="55" ht="15" hidden="0" customHeight="1">
      <x:c r="A55" t="n">
        <x:v>1054</x:v>
      </x:c>
      <x:c r="B55" t="str">
        <x:v>Bug</x:v>
      </x:c>
      <x:c r="C55" t="str">
        <x:v>Active</x:v>
      </x:c>
      <x:c r="D55" t="str">
        <x:v>Doing</x:v>
      </x:c>
      <x:c r="E55" t="str">
        <x:v>Amelia Brown</x:v>
      </x:c>
      <x:c r="F55" t="str">
        <x:v>High</x:v>
      </x:c>
      <x:c r="G55" t="n">
        <x:v>0</x:v>
      </x:c>
      <x:c r="H55" t="n">
        <x:v>2</x:v>
      </x:c>
      <x:c r="I55" t="n">
        <x:v>1.5</x:v>
      </x:c>
      <x:c r="J55" t="n">
        <x:v>0.5</x:v>
      </x:c>
      <x:c r="K55" s="25" t="n">
        <x:v>0.25</x:v>
      </x:c>
      <x:c r="L55" t="str">
        <x:v>Sprint 2026-06</x:v>
      </x:c>
      <x:c r="M55" t="str">
        <x:v>Monthly Incident Performance Report</x:v>
      </x:c>
      <x:c r="N55" t="str">
        <x:v>PROD - Incident Reporting Semantic Model</x:v>
      </x:c>
      <x:c r="O55" t="str">
        <x:v>Analyst Report Workspace</x:v>
      </x:c>
      <x:c r="P55" s="29" t="n">
        <x:v>46188</x:v>
      </x:c>
      <x:c r="Q55" s="29" t="n">
        <x:v>46198</x:v>
      </x:c>
      <x:c r="R55" t="n">
        <x:v>1</x:v>
      </x:c>
      <x:c r="S55" t="n">
        <x:v>0</x:v>
      </x:c>
      <x:c r="T55" t="n">
        <x:v>9</x:v>
      </x:c>
    </x:row>
    <x:row r="56" ht="15" hidden="0" customHeight="1">
      <x:c r="A56" t="n">
        <x:v>1055</x:v>
      </x:c>
      <x:c r="B56" t="str">
        <x:v>Bug</x:v>
      </x:c>
      <x:c r="C56" t="str">
        <x:v>Resolved</x:v>
      </x:c>
      <x:c r="D56" t="str">
        <x:v>Review</x:v>
      </x:c>
      <x:c r="E56" t="str">
        <x:v>Daniel Carter</x:v>
      </x:c>
      <x:c r="F56" t="str">
        <x:v>Medium</x:v>
      </x:c>
      <x:c r="G56" t="n">
        <x:v>0</x:v>
      </x:c>
      <x:c r="H56" t="n">
        <x:v>2</x:v>
      </x:c>
      <x:c r="I56" t="n">
        <x:v>1</x:v>
      </x:c>
      <x:c r="J56" t="n">
        <x:v>1</x:v>
      </x:c>
      <x:c r="K56" s="25" t="n">
        <x:v>0.5</x:v>
      </x:c>
      <x:c r="L56" t="str">
        <x:v>Sprint 2026-06</x:v>
      </x:c>
      <x:c r="M56" t="str">
        <x:v>Officer Availability Dashboard</x:v>
      </x:c>
      <x:c r="N56" t="str">
        <x:v>PROD - Workforce Semantic Model</x:v>
      </x:c>
      <x:c r="O56" t="str">
        <x:v>Analyst Report Workspace</x:v>
      </x:c>
      <x:c r="P56" s="29" t="n">
        <x:v>46189</x:v>
      </x:c>
      <x:c r="Q56" s="29" t="n">
        <x:v>46198</x:v>
      </x:c>
      <x:c r="R56" t="n">
        <x:v>1</x:v>
      </x:c>
      <x:c r="S56" t="n">
        <x:v>0</x:v>
      </x:c>
      <x:c r="T56" t="n">
        <x:v>8</x:v>
      </x:c>
    </x:row>
    <x:row r="57" ht="15" hidden="0" customHeight="1">
      <x:c r="A57" t="n">
        <x:v>1056</x:v>
      </x:c>
      <x:c r="B57" t="str">
        <x:v>Bug</x:v>
      </x:c>
      <x:c r="C57" t="str">
        <x:v>Closed</x:v>
      </x:c>
      <x:c r="D57" t="str">
        <x:v>Done</x:v>
      </x:c>
      <x:c r="E57" t="str">
        <x:v>Priya Nair</x:v>
      </x:c>
      <x:c r="F57" t="str">
        <x:v>Low</x:v>
      </x:c>
      <x:c r="G57" t="n">
        <x:v>0</x:v>
      </x:c>
      <x:c r="H57" t="n">
        <x:v>2</x:v>
      </x:c>
      <x:c r="I57" t="n">
        <x:v>0</x:v>
      </x:c>
      <x:c r="J57" t="n">
        <x:v>2</x:v>
      </x:c>
      <x:c r="K57" s="25" t="n">
        <x:v>1</x:v>
      </x:c>
      <x:c r="L57" t="str">
        <x:v>Sprint 2026-06</x:v>
      </x:c>
      <x:c r="M57" t="str">
        <x:v>Custody Performance Dashboard</x:v>
      </x:c>
      <x:c r="N57" t="str">
        <x:v>PROD - Custody Reporting Semantic Model</x:v>
      </x:c>
      <x:c r="O57" t="str">
        <x:v>Analyst Report Workspace</x:v>
      </x:c>
      <x:c r="P57" s="29" t="n">
        <x:v>46190</x:v>
      </x:c>
      <x:c r="Q57" s="29" t="n">
        <x:v>46198</x:v>
      </x:c>
      <x:c r="R57" t="n">
        <x:v>1</x:v>
      </x:c>
      <x:c r="S57" t="n">
        <x:v>1</x:v>
      </x:c>
      <x:c r="T57" t="n">
        <x:v>7</x:v>
      </x:c>
    </x:row>
    <x:row r="58" ht="15" hidden="0" customHeight="1">
      <x:c r="A58" t="n">
        <x:v>1057</x:v>
      </x:c>
      <x:c r="B58" t="str">
        <x:v>Bug</x:v>
      </x:c>
      <x:c r="C58" t="str">
        <x:v>New</x:v>
      </x:c>
      <x:c r="D58" t="str">
        <x:v>To Do</x:v>
      </x:c>
      <x:c r="E58" t="str">
        <x:v>Tom Hughes</x:v>
      </x:c>
      <x:c r="F58" t="str">
        <x:v>Medium</x:v>
      </x:c>
      <x:c r="G58" t="n">
        <x:v>0</x:v>
      </x:c>
      <x:c r="H58" t="n">
        <x:v>2</x:v>
      </x:c>
      <x:c r="I58" t="n">
        <x:v>2</x:v>
      </x:c>
      <x:c r="J58" t="n">
        <x:v>0</x:v>
      </x:c>
      <x:c r="K58" s="25" t="n">
        <x:v>0</x:v>
      </x:c>
      <x:c r="L58" t="str">
        <x:v>Sprint 2026-06</x:v>
      </x:c>
      <x:c r="M58" t="str">
        <x:v>Victim Services Overview</x:v>
      </x:c>
      <x:c r="N58" t="str">
        <x:v>PROD - Victim Services Semantic Model</x:v>
      </x:c>
      <x:c r="O58" t="str">
        <x:v>Analyst Report Workspace</x:v>
      </x:c>
      <x:c r="P58" s="29" t="n">
        <x:v>46191</x:v>
      </x:c>
      <x:c r="Q58" s="29" t="n">
        <x:v>46198</x:v>
      </x:c>
      <x:c r="R58" t="n">
        <x:v>1</x:v>
      </x:c>
      <x:c r="S58" t="n">
        <x:v>0</x:v>
      </x:c>
      <x:c r="T58" t="n">
        <x:v>6</x:v>
      </x:c>
    </x:row>
    <x:row r="59" ht="15" hidden="0" customHeight="1">
      <x:c r="A59" t="n">
        <x:v>1058</x:v>
      </x:c>
      <x:c r="B59" t="str">
        <x:v>Bug</x:v>
      </x:c>
      <x:c r="C59" t="str">
        <x:v>Active</x:v>
      </x:c>
      <x:c r="D59" t="str">
        <x:v>Doing</x:v>
      </x:c>
      <x:c r="E59" t="str">
        <x:v>Sarah Patel</x:v>
      </x:c>
      <x:c r="F59" t="str">
        <x:v>Medium</x:v>
      </x:c>
      <x:c r="G59" t="n">
        <x:v>0</x:v>
      </x:c>
      <x:c r="H59" t="n">
        <x:v>2</x:v>
      </x:c>
      <x:c r="I59" t="n">
        <x:v>1.5</x:v>
      </x:c>
      <x:c r="J59" t="n">
        <x:v>0.5</x:v>
      </x:c>
      <x:c r="K59" s="25" t="n">
        <x:v>0.25</x:v>
      </x:c>
      <x:c r="L59" t="str">
        <x:v>Sprint 2026-06</x:v>
      </x:c>
      <x:c r="M59" t="str">
        <x:v>Stop and Search Summary</x:v>
      </x:c>
      <x:c r="N59" t="str">
        <x:v>PROD - Stop and Search Semantic Model</x:v>
      </x:c>
      <x:c r="O59" t="str">
        <x:v>Analyst Report Workspace</x:v>
      </x:c>
      <x:c r="P59" s="29" t="n">
        <x:v>46192</x:v>
      </x:c>
      <x:c r="Q59" s="29" t="n">
        <x:v>46198</x:v>
      </x:c>
      <x:c r="R59" t="n">
        <x:v>1</x:v>
      </x:c>
      <x:c r="S59" t="n">
        <x:v>0</x:v>
      </x:c>
      <x:c r="T59" t="n">
        <x:v>5</x:v>
      </x:c>
    </x:row>
    <x:row r="60" ht="15" hidden="0" customHeight="1">
      <x:c r="A60" t="n">
        <x:v>1059</x:v>
      </x:c>
      <x:c r="B60" t="str">
        <x:v>Bug</x:v>
      </x:c>
      <x:c r="C60" t="str">
        <x:v>Resolved</x:v>
      </x:c>
      <x:c r="D60" t="str">
        <x:v>Review</x:v>
      </x:c>
      <x:c r="E60" t="str">
        <x:v>Kishore K</x:v>
      </x:c>
      <x:c r="F60" t="str">
        <x:v>Low</x:v>
      </x:c>
      <x:c r="G60" t="n">
        <x:v>0</x:v>
      </x:c>
      <x:c r="H60" t="n">
        <x:v>2</x:v>
      </x:c>
      <x:c r="I60" t="n">
        <x:v>1</x:v>
      </x:c>
      <x:c r="J60" t="n">
        <x:v>1</x:v>
      </x:c>
      <x:c r="K60" s="25" t="n">
        <x:v>0.5</x:v>
      </x:c>
      <x:c r="L60" t="str">
        <x:v>Sprint 2026-06</x:v>
      </x:c>
      <x:c r="M60" t="str">
        <x:v>All Reporting Packs</x:v>
      </x:c>
      <x:c r="N60" t="str">
        <x:v>PROD - Approved Semantic Models</x:v>
      </x:c>
      <x:c r="O60" t="str">
        <x:v>Analyst Report Workspace</x:v>
      </x:c>
      <x:c r="P60" s="29" t="n">
        <x:v>46188</x:v>
      </x:c>
      <x:c r="Q60" s="29" t="n">
        <x:v>46198</x:v>
      </x:c>
      <x:c r="R60" t="n">
        <x:v>1</x:v>
      </x:c>
      <x:c r="S60" t="n">
        <x:v>0</x:v>
      </x:c>
      <x:c r="T60" t="n">
        <x:v>9</x:v>
      </x:c>
    </x:row>
    <x:row r="61" ht="15" hidden="0" customHeight="1">
      <x:c r="A61" t="n">
        <x:v>1060</x:v>
      </x:c>
      <x:c r="B61" t="str">
        <x:v>Bug</x:v>
      </x:c>
      <x:c r="C61" t="str">
        <x:v>Closed</x:v>
      </x:c>
      <x:c r="D61" t="str">
        <x:v>Done</x:v>
      </x:c>
      <x:c r="E61" t="str">
        <x:v>Daniel Carter</x:v>
      </x:c>
      <x:c r="F61" t="str">
        <x:v>Medium</x:v>
      </x:c>
      <x:c r="G61" t="n">
        <x:v>0</x:v>
      </x:c>
      <x:c r="H61" t="n">
        <x:v>2</x:v>
      </x:c>
      <x:c r="I61" t="n">
        <x:v>0</x:v>
      </x:c>
      <x:c r="J61" t="n">
        <x:v>2</x:v>
      </x:c>
      <x:c r="K61" s="25" t="n">
        <x:v>1</x:v>
      </x:c>
      <x:c r="L61" t="str">
        <x:v>Sprint 2026-06</x:v>
      </x:c>
      <x:c r="M61" t="str">
        <x:v>Sprint Summary Report</x:v>
      </x:c>
      <x:c r="N61" t="str">
        <x:v>Azure DevOps Work Items</x:v>
      </x:c>
      <x:c r="O61" t="str">
        <x:v>Analyst Report Workspace</x:v>
      </x:c>
      <x:c r="P61" s="29" t="n">
        <x:v>46189</x:v>
      </x:c>
      <x:c r="Q61" s="29" t="n">
        <x:v>46198</x:v>
      </x:c>
      <x:c r="R61" t="n">
        <x:v>1</x:v>
      </x:c>
      <x:c r="S61" t="n">
        <x:v>1</x:v>
      </x:c>
      <x:c r="T61" t="n">
        <x:v>8</x:v>
      </x:c>
    </x:row>
    <x:row r="62" ht="15" hidden="0" customHeight="1">
      <x:c r="A62" t="n">
        <x:v>1061</x:v>
      </x:c>
      <x:c r="B62" t="str">
        <x:v>Bug</x:v>
      </x:c>
      <x:c r="C62" t="str">
        <x:v>New</x:v>
      </x:c>
      <x:c r="D62" t="str">
        <x:v>To Do</x:v>
      </x:c>
      <x:c r="E62" t="str">
        <x:v>Priya Nair</x:v>
      </x:c>
      <x:c r="F62" t="str">
        <x:v>Low</x:v>
      </x:c>
      <x:c r="G62" t="n">
        <x:v>0</x:v>
      </x:c>
      <x:c r="H62" t="n">
        <x:v>2</x:v>
      </x:c>
      <x:c r="I62" t="n">
        <x:v>2</x:v>
      </x:c>
      <x:c r="J62" t="n">
        <x:v>0</x:v>
      </x:c>
      <x:c r="K62" s="25" t="n">
        <x:v>0</x:v>
      </x:c>
      <x:c r="L62" t="str">
        <x:v>Sprint 2026-06</x:v>
      </x:c>
      <x:c r="M62" t="str">
        <x:v>Report Readiness Dashboard</x:v>
      </x:c>
      <x:c r="N62" t="str">
        <x:v>Azure DevOps Work Items</x:v>
      </x:c>
      <x:c r="O62" t="str">
        <x:v>Analyst Report Workspace</x:v>
      </x:c>
      <x:c r="P62" s="29" t="n">
        <x:v>46190</x:v>
      </x:c>
      <x:c r="Q62" s="29" t="n">
        <x:v>46198</x:v>
      </x:c>
      <x:c r="R62" t="n">
        <x:v>1</x:v>
      </x:c>
      <x:c r="S62" t="n">
        <x:v>0</x:v>
      </x:c>
      <x:c r="T62" t="n">
        <x:v>7</x:v>
      </x:c>
    </x:row>
    <x:row r="63" ht="15" hidden="0" customHeight="1">
      <x:c r="A63" t="n">
        <x:v>1062</x:v>
      </x:c>
      <x:c r="B63" t="str">
        <x:v>Feature</x:v>
      </x:c>
      <x:c r="C63" t="str">
        <x:v>New</x:v>
      </x:c>
      <x:c r="D63" t="str">
        <x:v>To Do</x:v>
      </x:c>
      <x:c r="E63" t="str">
        <x:v>Kishore K</x:v>
      </x:c>
      <x:c r="F63" t="str">
        <x:v>Low</x:v>
      </x:c>
      <x:c r="G63" t="n">
        <x:v>0</x:v>
      </x:c>
      <x:c r="H63" t="n">
        <x:v>0</x:v>
      </x:c>
      <x:c r="I63" t="n">
        <x:v>0</x:v>
      </x:c>
      <x:c r="J63" t="n">
        <x:v>0</x:v>
      </x:c>
      <x:c r="K63" s="25" t="n">
        <x:v>0</x:v>
      </x:c>
      <x:c r="L63" t="str">
        <x:v>Sprint 2026-06</x:v>
      </x:c>
      <x:c r="M63" t="str"/>
      <x:c r="N63" t="str"/>
      <x:c r="O63" t="str"/>
      <x:c r="P63" s="29" t="n">
        <x:v>46189</x:v>
      </x:c>
      <x:c r="Q63" s="29" t="n">
        <x:v>46208</x:v>
      </x:c>
      <x:c r="R63" t="n">
        <x:v>1</x:v>
      </x:c>
      <x:c r="S63" t="n">
        <x:v>0</x:v>
      </x:c>
      <x:c r="T63" t="n">
        <x:v>8</x:v>
      </x:c>
    </x:row>
    <x:row r="64" ht="15" hidden="0" customHeight="1">
      <x:c r="A64" t="n">
        <x:v>1063</x:v>
      </x:c>
      <x:c r="B64" t="str">
        <x:v>User Story</x:v>
      </x:c>
      <x:c r="C64" t="str">
        <x:v>New</x:v>
      </x:c>
      <x:c r="D64" t="str">
        <x:v>To Do</x:v>
      </x:c>
      <x:c r="E64" t="str">
        <x:v>Priya Nair</x:v>
      </x:c>
      <x:c r="F64" t="str">
        <x:v>Low</x:v>
      </x:c>
      <x:c r="G64" t="n">
        <x:v>2</x:v>
      </x:c>
      <x:c r="H64" t="n">
        <x:v>4</x:v>
      </x:c>
      <x:c r="I64" t="n">
        <x:v>4</x:v>
      </x:c>
      <x:c r="J64" t="n">
        <x:v>0</x:v>
      </x:c>
      <x:c r="K64" s="25" t="n">
        <x:v>0</x:v>
      </x:c>
      <x:c r="L64" t="str">
        <x:v>Sprint 2026-06</x:v>
      </x:c>
      <x:c r="M64" t="str">
        <x:v>Monthly Incident Performance Report</x:v>
      </x:c>
      <x:c r="N64" t="str">
        <x:v>PROD - Incident Reporting Semantic Model</x:v>
      </x:c>
      <x:c r="O64" t="str">
        <x:v>Backlog</x:v>
      </x:c>
      <x:c r="P64" s="29" t="n">
        <x:v>46192</x:v>
      </x:c>
      <x:c r="Q64" s="29" t="n">
        <x:v>46213</x:v>
      </x:c>
      <x:c r="R64" t="n">
        <x:v>1</x:v>
      </x:c>
      <x:c r="S64" t="n">
        <x:v>0</x:v>
      </x:c>
      <x:c r="T64" t="n">
        <x:v>5</x:v>
      </x:c>
    </x:row>
    <x:row r="65" ht="15" hidden="0" customHeight="1">
      <x:c r="A65" t="n">
        <x:v>1064</x:v>
      </x:c>
      <x:c r="B65" t="str">
        <x:v>User Story</x:v>
      </x:c>
      <x:c r="C65" t="str">
        <x:v>New</x:v>
      </x:c>
      <x:c r="D65" t="str">
        <x:v>To Do</x:v>
      </x:c>
      <x:c r="E65" t="str">
        <x:v>Priya Nair</x:v>
      </x:c>
      <x:c r="F65" t="str">
        <x:v>Low</x:v>
      </x:c>
      <x:c r="G65" t="n">
        <x:v>2</x:v>
      </x:c>
      <x:c r="H65" t="n">
        <x:v>4</x:v>
      </x:c>
      <x:c r="I65" t="n">
        <x:v>4</x:v>
      </x:c>
      <x:c r="J65" t="n">
        <x:v>0</x:v>
      </x:c>
      <x:c r="K65" s="25" t="n">
        <x:v>0</x:v>
      </x:c>
      <x:c r="L65" t="str">
        <x:v>Sprint 2026-06</x:v>
      </x:c>
      <x:c r="M65" t="str">
        <x:v>Operational Demand Dashboard</x:v>
      </x:c>
      <x:c r="N65" t="str">
        <x:v>PROD - Incident Reporting Semantic Model</x:v>
      </x:c>
      <x:c r="O65" t="str">
        <x:v>Backlog</x:v>
      </x:c>
      <x:c r="P65" s="29" t="n">
        <x:v>46192</x:v>
      </x:c>
      <x:c r="Q65" s="29" t="n">
        <x:v>46213</x:v>
      </x:c>
      <x:c r="R65" t="n">
        <x:v>1</x:v>
      </x:c>
      <x:c r="S65" t="n">
        <x:v>0</x:v>
      </x:c>
      <x:c r="T65" t="n">
        <x:v>5</x:v>
      </x:c>
    </x:row>
    <x:row r="66" ht="15" hidden="0" customHeight="1">
      <x:c r="A66" t="n">
        <x:v>1065</x:v>
      </x:c>
      <x:c r="B66" t="str">
        <x:v>User Story</x:v>
      </x:c>
      <x:c r="C66" t="str">
        <x:v>New</x:v>
      </x:c>
      <x:c r="D66" t="str">
        <x:v>To Do</x:v>
      </x:c>
      <x:c r="E66" t="str">
        <x:v>Tom Hughes</x:v>
      </x:c>
      <x:c r="F66" t="str">
        <x:v>Low</x:v>
      </x:c>
      <x:c r="G66" t="n">
        <x:v>2</x:v>
      </x:c>
      <x:c r="H66" t="n">
        <x:v>4</x:v>
      </x:c>
      <x:c r="I66" t="n">
        <x:v>4</x:v>
      </x:c>
      <x:c r="J66" t="n">
        <x:v>0</x:v>
      </x:c>
      <x:c r="K66" s="25" t="n">
        <x:v>0</x:v>
      </x:c>
      <x:c r="L66" t="str">
        <x:v>Sprint 2026-06</x:v>
      </x:c>
      <x:c r="M66" t="str">
        <x:v>All Reporting Packs</x:v>
      </x:c>
      <x:c r="N66" t="str">
        <x:v>PROD - Approved Semantic Models</x:v>
      </x:c>
      <x:c r="O66" t="str">
        <x:v>Backlog</x:v>
      </x:c>
      <x:c r="P66" s="29" t="n">
        <x:v>46192</x:v>
      </x:c>
      <x:c r="Q66" s="29" t="n">
        <x:v>46213</x:v>
      </x:c>
      <x:c r="R66" t="n">
        <x:v>1</x:v>
      </x:c>
      <x:c r="S66" t="n">
        <x:v>0</x:v>
      </x:c>
      <x:c r="T66" t="n">
        <x:v>5</x:v>
      </x:c>
    </x:row>
    <x:row r="67" ht="15" hidden="0" customHeight="1">
      <x:c r="K67" s="25"/>
      <x:c r="P67" s="29"/>
      <x:c r="Q67" s="29"/>
    </x:row>
    <x:row r="68" ht="15" hidden="0" customHeight="1">
      <x:c r="K68" s="25"/>
      <x:c r="P68" s="29"/>
      <x:c r="Q68" s="29"/>
    </x:row>
    <x:row r="69" ht="15" hidden="0" customHeight="1">
      <x:c r="K69" s="25"/>
      <x:c r="P69" s="29"/>
      <x:c r="Q69" s="29"/>
    </x:row>
    <x:row r="70" ht="15" hidden="0" customHeight="1">
      <x:c r="K70" s="25"/>
      <x:c r="P70" s="29"/>
      <x:c r="Q70" s="29"/>
    </x:row>
    <x:row r="71" ht="15" hidden="0" customHeight="1">
      <x:c r="K71" s="25"/>
      <x:c r="P71" s="29"/>
      <x:c r="Q71" s="29"/>
    </x:row>
    <x:row r="72" ht="15" hidden="0" customHeight="1">
      <x:c r="K72" s="25"/>
      <x:c r="P72" s="29"/>
      <x:c r="Q72" s="29"/>
    </x:row>
    <x:row r="73" ht="15" hidden="0" customHeight="1">
      <x:c r="K73" s="25"/>
      <x:c r="P73" s="29"/>
      <x:c r="Q73" s="29"/>
    </x:row>
    <x:row r="74" ht="15" hidden="0" customHeight="1">
      <x:c r="K74" s="25"/>
      <x:c r="P74" s="29"/>
      <x:c r="Q74" s="29"/>
    </x:row>
    <x:row r="75" ht="15" hidden="0" customHeight="1">
      <x:c r="K75" s="25"/>
      <x:c r="P75" s="29"/>
      <x:c r="Q75" s="29"/>
    </x:row>
    <x:row r="76" ht="15" hidden="0" customHeight="1">
      <x:c r="K76" s="25"/>
      <x:c r="P76" s="29"/>
      <x:c r="Q76" s="29"/>
    </x:row>
    <x:row r="77" ht="15" hidden="0" customHeight="1">
      <x:c r="K77" s="25"/>
      <x:c r="P77" s="29"/>
      <x:c r="Q77" s="29"/>
    </x:row>
    <x:row r="78" ht="15" hidden="0" customHeight="1">
      <x:c r="K78" s="25"/>
      <x:c r="P78" s="29"/>
      <x:c r="Q78" s="29"/>
    </x:row>
    <x:row r="79" ht="15" hidden="0" customHeight="1">
      <x:c r="K79" s="25"/>
      <x:c r="P79" s="29"/>
      <x:c r="Q79" s="29"/>
    </x:row>
    <x:row r="80" ht="15" hidden="0" customHeight="1">
      <x:c r="K80" s="25"/>
      <x:c r="P80" s="29"/>
      <x:c r="Q80" s="29"/>
    </x:row>
    <x:row r="81" ht="15" hidden="0" customHeight="1">
      <x:c r="K81" s="25"/>
      <x:c r="P81" s="29"/>
      <x:c r="Q81" s="29"/>
    </x:row>
    <x:row r="82" ht="15" hidden="0" customHeight="1">
      <x:c r="K82" s="25"/>
      <x:c r="P82" s="29"/>
      <x:c r="Q82" s="29"/>
    </x:row>
    <x:row r="83" ht="15" hidden="0" customHeight="1">
      <x:c r="K83" s="25"/>
      <x:c r="P83" s="29"/>
      <x:c r="Q83" s="29"/>
    </x:row>
    <x:row r="84" ht="15" hidden="0" customHeight="1">
      <x:c r="K84" s="25"/>
      <x:c r="P84" s="29"/>
      <x:c r="Q84" s="29"/>
    </x:row>
    <x:row r="85" ht="15" hidden="0" customHeight="1">
      <x:c r="K85" s="25"/>
      <x:c r="P85" s="29"/>
      <x:c r="Q85" s="29"/>
    </x:row>
    <x:row r="86" ht="15" hidden="0" customHeight="1">
      <x:c r="K86" s="25"/>
      <x:c r="P86" s="29"/>
      <x:c r="Q86" s="29"/>
    </x:row>
    <x:row r="87" ht="15" hidden="0" customHeight="1">
      <x:c r="K87" s="25"/>
      <x:c r="P87" s="29"/>
      <x:c r="Q87" s="29"/>
    </x:row>
    <x:row r="88" ht="15" hidden="0" customHeight="1">
      <x:c r="K88" s="25"/>
      <x:c r="P88" s="29"/>
      <x:c r="Q88" s="29"/>
    </x:row>
    <x:row r="89" ht="15" hidden="0" customHeight="1">
      <x:c r="K89" s="25"/>
      <x:c r="P89" s="29"/>
      <x:c r="Q89" s="29"/>
    </x:row>
    <x:row r="90" ht="15" hidden="0" customHeight="1">
      <x:c r="K90" s="25"/>
      <x:c r="P90" s="29"/>
      <x:c r="Q90" s="29"/>
    </x:row>
    <x:row r="91" ht="15" hidden="0" customHeight="1">
      <x:c r="K91" s="25"/>
      <x:c r="P91" s="29"/>
      <x:c r="Q91" s="29"/>
    </x:row>
    <x:row r="92" ht="15" hidden="0" customHeight="1">
      <x:c r="K92" s="25"/>
      <x:c r="P92" s="29"/>
      <x:c r="Q92" s="29"/>
    </x:row>
    <x:row r="93" ht="15" hidden="0" customHeight="1">
      <x:c r="K93" s="25"/>
      <x:c r="P93" s="29"/>
      <x:c r="Q93" s="29"/>
    </x:row>
    <x:row r="94" ht="15" hidden="0" customHeight="1">
      <x:c r="K94" s="25"/>
      <x:c r="P94" s="29"/>
      <x:c r="Q94" s="29"/>
    </x:row>
    <x:row r="95" ht="15" hidden="0" customHeight="1">
      <x:c r="K95" s="25"/>
      <x:c r="P95" s="29"/>
      <x:c r="Q95" s="29"/>
    </x:row>
    <x:row r="96" ht="15" hidden="0" customHeight="1">
      <x:c r="K96" s="25"/>
      <x:c r="P96" s="29"/>
      <x:c r="Q96" s="29"/>
    </x:row>
    <x:row r="97" ht="15" hidden="0" customHeight="1">
      <x:c r="K97" s="25"/>
      <x:c r="P97" s="29"/>
      <x:c r="Q97" s="29"/>
    </x:row>
    <x:row r="98" ht="15" hidden="0" customHeight="1">
      <x:c r="K98" s="25"/>
      <x:c r="P98" s="29"/>
      <x:c r="Q98" s="29"/>
    </x:row>
    <x:row r="99" ht="15" hidden="0" customHeight="1">
      <x:c r="K99" s="25"/>
      <x:c r="P99" s="29"/>
      <x:c r="Q99" s="29"/>
    </x:row>
    <x:row r="100" ht="15" hidden="0" customHeight="1">
      <x:c r="K100" s="25"/>
      <x:c r="P100" s="29"/>
      <x:c r="Q100" s="29"/>
    </x:row>
    <x:row r="101" ht="15" hidden="0" customHeight="1">
      <x:c r="K101" s="25"/>
      <x:c r="P101" s="29"/>
      <x:c r="Q101" s="29"/>
    </x:row>
    <x:row r="102" ht="15" hidden="0" customHeight="1">
      <x:c r="K102" s="25"/>
      <x:c r="P102" s="29"/>
      <x:c r="Q102" s="29"/>
    </x:row>
    <x:row r="103" ht="15" hidden="0" customHeight="1">
      <x:c r="K103" s="25"/>
      <x:c r="P103" s="29"/>
      <x:c r="Q103" s="29"/>
    </x:row>
    <x:row r="104" ht="15" hidden="0" customHeight="1">
      <x:c r="K104" s="25"/>
      <x:c r="P104" s="29"/>
      <x:c r="Q104" s="29"/>
    </x:row>
    <x:row r="105" ht="15" hidden="0" customHeight="1">
      <x:c r="K105" s="25"/>
      <x:c r="P105" s="29"/>
      <x:c r="Q105" s="29"/>
    </x:row>
    <x:row r="106" ht="15" hidden="0" customHeight="1">
      <x:c r="K106" s="25"/>
      <x:c r="P106" s="29"/>
      <x:c r="Q106" s="29"/>
    </x:row>
    <x:row r="107" ht="15" hidden="0" customHeight="1">
      <x:c r="K107" s="25"/>
      <x:c r="P107" s="29"/>
      <x:c r="Q107" s="29"/>
    </x:row>
    <x:row r="108" ht="15" hidden="0" customHeight="1">
      <x:c r="K108" s="25"/>
      <x:c r="P108" s="29"/>
      <x:c r="Q108" s="29"/>
    </x:row>
    <x:row r="109" ht="15" hidden="0" customHeight="1">
      <x:c r="K109" s="25"/>
      <x:c r="P109" s="29"/>
      <x:c r="Q109" s="29"/>
    </x:row>
    <x:row r="110" ht="15" hidden="0" customHeight="1">
      <x:c r="K110" s="25"/>
      <x:c r="P110" s="29"/>
      <x:c r="Q110" s="29"/>
    </x:row>
    <x:row r="111" ht="15" hidden="0" customHeight="1">
      <x:c r="K111" s="25"/>
      <x:c r="P111" s="29"/>
      <x:c r="Q111" s="29"/>
    </x:row>
    <x:row r="112" ht="15" hidden="0" customHeight="1">
      <x:c r="K112" s="25"/>
      <x:c r="P112" s="29"/>
      <x:c r="Q112" s="29"/>
    </x:row>
    <x:row r="113" ht="15" hidden="0" customHeight="1">
      <x:c r="K113" s="25"/>
      <x:c r="P113" s="29"/>
      <x:c r="Q113" s="29"/>
    </x:row>
    <x:row r="114" ht="15" hidden="0" customHeight="1">
      <x:c r="K114" s="25"/>
      <x:c r="P114" s="29"/>
      <x:c r="Q114" s="29"/>
    </x:row>
    <x:row r="115" ht="15" hidden="0" customHeight="1">
      <x:c r="K115" s="25"/>
      <x:c r="P115" s="29"/>
      <x:c r="Q115" s="29"/>
    </x:row>
    <x:row r="116" ht="15" hidden="0" customHeight="1">
      <x:c r="K116" s="25"/>
      <x:c r="P116" s="29"/>
      <x:c r="Q116" s="29"/>
    </x:row>
    <x:row r="117" ht="15" hidden="0" customHeight="1">
      <x:c r="K117" s="25"/>
      <x:c r="P117" s="29"/>
      <x:c r="Q117" s="29"/>
    </x:row>
    <x:row r="118" ht="15" hidden="0" customHeight="1">
      <x:c r="K118" s="25"/>
      <x:c r="P118" s="29"/>
      <x:c r="Q118" s="29"/>
    </x:row>
    <x:row r="119" ht="15" hidden="0" customHeight="1">
      <x:c r="K119" s="25"/>
      <x:c r="P119" s="29"/>
      <x:c r="Q119" s="29"/>
    </x:row>
    <x:row r="120" ht="15" hidden="0" customHeight="1">
      <x:c r="K120" s="25"/>
      <x:c r="P120" s="29"/>
      <x:c r="Q120" s="29"/>
    </x:row>
    <x:row r="121" ht="15" hidden="0" customHeight="1">
      <x:c r="K121" s="25"/>
      <x:c r="P121" s="29"/>
      <x:c r="Q121" s="29"/>
    </x:row>
    <x:row r="122" ht="15" hidden="0" customHeight="1">
      <x:c r="K122" s="25"/>
      <x:c r="P122" s="29"/>
      <x:c r="Q122" s="29"/>
    </x:row>
    <x:row r="123" ht="15" hidden="0" customHeight="1">
      <x:c r="K123" s="25"/>
      <x:c r="P123" s="29"/>
      <x:c r="Q123" s="29"/>
    </x:row>
    <x:row r="124" ht="15" hidden="0" customHeight="1">
      <x:c r="K124" s="25"/>
      <x:c r="P124" s="29"/>
      <x:c r="Q124" s="29"/>
    </x:row>
    <x:row r="125" ht="15" hidden="0" customHeight="1">
      <x:c r="K125" s="25"/>
      <x:c r="P125" s="29"/>
      <x:c r="Q125" s="29"/>
    </x:row>
    <x:row r="126" ht="15" hidden="0" customHeight="1">
      <x:c r="K126" s="25"/>
      <x:c r="P126" s="29"/>
      <x:c r="Q126" s="29"/>
    </x:row>
    <x:row r="127" ht="15" hidden="0" customHeight="1">
      <x:c r="K127" s="25"/>
      <x:c r="P127" s="29"/>
      <x:c r="Q127" s="29"/>
    </x:row>
    <x:row r="128" ht="15" hidden="0" customHeight="1">
      <x:c r="K128" s="25"/>
      <x:c r="P128" s="29"/>
      <x:c r="Q128" s="29"/>
    </x:row>
    <x:row r="129" ht="15" hidden="0" customHeight="1">
      <x:c r="K129" s="25"/>
      <x:c r="P129" s="29"/>
      <x:c r="Q129" s="29"/>
    </x:row>
    <x:row r="130" ht="15" hidden="0" customHeight="1">
      <x:c r="K130" s="25"/>
      <x:c r="P130" s="29"/>
      <x:c r="Q130" s="29"/>
    </x:row>
    <x:row r="131" ht="15" hidden="0" customHeight="1">
      <x:c r="K131" s="25"/>
      <x:c r="P131" s="29"/>
      <x:c r="Q131" s="29"/>
    </x:row>
    <x:row r="132" ht="15" hidden="0" customHeight="1">
      <x:c r="K132" s="25"/>
      <x:c r="P132" s="29"/>
      <x:c r="Q132" s="29"/>
    </x:row>
    <x:row r="133" ht="15" hidden="0" customHeight="1">
      <x:c r="K133" s="25"/>
      <x:c r="P133" s="29"/>
      <x:c r="Q133" s="29"/>
    </x:row>
    <x:row r="134" ht="15" hidden="0" customHeight="1">
      <x:c r="K134" s="25"/>
      <x:c r="P134" s="29"/>
      <x:c r="Q134" s="29"/>
    </x:row>
    <x:row r="135" ht="15" hidden="0" customHeight="1">
      <x:c r="K135" s="25"/>
      <x:c r="P135" s="29"/>
      <x:c r="Q135" s="29"/>
    </x:row>
    <x:row r="136" ht="15" hidden="0" customHeight="1">
      <x:c r="K136" s="25"/>
      <x:c r="P136" s="29"/>
      <x:c r="Q136" s="29"/>
    </x:row>
    <x:row r="137" ht="15" hidden="0" customHeight="1">
      <x:c r="K137" s="25"/>
      <x:c r="P137" s="29"/>
      <x:c r="Q137" s="29"/>
    </x:row>
    <x:row r="138" ht="15" hidden="0" customHeight="1">
      <x:c r="K138" s="25"/>
      <x:c r="P138" s="29"/>
      <x:c r="Q138" s="29"/>
    </x:row>
    <x:row r="139" ht="15" hidden="0" customHeight="1">
      <x:c r="K139" s="25"/>
      <x:c r="P139" s="29"/>
      <x:c r="Q139" s="29"/>
    </x:row>
    <x:row r="140" ht="15" hidden="0" customHeight="1">
      <x:c r="K140" s="25"/>
      <x:c r="P140" s="29"/>
      <x:c r="Q140" s="29"/>
    </x:row>
    <x:row r="141" ht="15" hidden="0" customHeight="1">
      <x:c r="K141" s="25"/>
      <x:c r="P141" s="29"/>
      <x:c r="Q141" s="29"/>
    </x:row>
    <x:row r="142" ht="15" hidden="0" customHeight="1">
      <x:c r="K142" s="25"/>
      <x:c r="P142" s="29"/>
      <x:c r="Q142" s="29"/>
    </x:row>
    <x:row r="143" ht="15" hidden="0" customHeight="1">
      <x:c r="K143" s="25"/>
      <x:c r="P143" s="29"/>
      <x:c r="Q143" s="29"/>
    </x:row>
    <x:row r="144" ht="15" hidden="0" customHeight="1">
      <x:c r="K144" s="25"/>
      <x:c r="P144" s="29"/>
      <x:c r="Q144" s="29"/>
    </x:row>
    <x:row r="145" ht="15" hidden="0" customHeight="1">
      <x:c r="K145" s="25"/>
      <x:c r="P145" s="29"/>
      <x:c r="Q145" s="29"/>
    </x:row>
    <x:row r="146" ht="15" hidden="0" customHeight="1">
      <x:c r="K146" s="25"/>
      <x:c r="P146" s="29"/>
      <x:c r="Q146" s="29"/>
    </x:row>
    <x:row r="147" ht="15" hidden="0" customHeight="1">
      <x:c r="K147" s="25"/>
      <x:c r="P147" s="29"/>
      <x:c r="Q147" s="29"/>
    </x:row>
    <x:row r="148" ht="15" hidden="0" customHeight="1">
      <x:c r="K148" s="25"/>
      <x:c r="P148" s="29"/>
      <x:c r="Q148" s="29"/>
    </x:row>
    <x:row r="149" ht="15" hidden="0" customHeight="1">
      <x:c r="K149" s="25"/>
      <x:c r="P149" s="29"/>
      <x:c r="Q149" s="29"/>
    </x:row>
    <x:row r="150" ht="15" hidden="0" customHeight="1">
      <x:c r="K150" s="25"/>
      <x:c r="P150" s="29"/>
      <x:c r="Q150" s="29"/>
    </x:row>
    <x:row r="151" ht="15" hidden="0" customHeight="1">
      <x:c r="K151" s="25"/>
      <x:c r="P151" s="29"/>
      <x:c r="Q151" s="29"/>
    </x:row>
    <x:row r="152" ht="15" hidden="0" customHeight="1">
      <x:c r="K152" s="25"/>
      <x:c r="P152" s="29"/>
      <x:c r="Q152" s="29"/>
    </x:row>
    <x:row r="153" ht="15" hidden="0" customHeight="1">
      <x:c r="K153" s="25"/>
      <x:c r="P153" s="29"/>
      <x:c r="Q153" s="29"/>
    </x:row>
    <x:row r="154" ht="15" hidden="0" customHeight="1">
      <x:c r="K154" s="25"/>
      <x:c r="P154" s="29"/>
      <x:c r="Q154" s="29"/>
    </x:row>
    <x:row r="155" ht="15" hidden="0" customHeight="1">
      <x:c r="K155" s="25"/>
      <x:c r="P155" s="29"/>
      <x:c r="Q155" s="29"/>
    </x:row>
    <x:row r="156" ht="15" hidden="0" customHeight="1">
      <x:c r="K156" s="25"/>
      <x:c r="P156" s="29"/>
      <x:c r="Q156" s="29"/>
    </x:row>
    <x:row r="157" ht="15" hidden="0" customHeight="1">
      <x:c r="K157" s="25"/>
      <x:c r="P157" s="29"/>
      <x:c r="Q157" s="29"/>
    </x:row>
    <x:row r="158" ht="15" hidden="0" customHeight="1">
      <x:c r="K158" s="25"/>
      <x:c r="P158" s="29"/>
      <x:c r="Q158" s="29"/>
    </x:row>
    <x:row r="159" ht="15" hidden="0" customHeight="1">
      <x:c r="K159" s="25"/>
      <x:c r="P159" s="29"/>
      <x:c r="Q159" s="29"/>
    </x:row>
    <x:row r="160" ht="15" hidden="0" customHeight="1">
      <x:c r="K160" s="25"/>
      <x:c r="P160" s="29"/>
      <x:c r="Q160" s="29"/>
    </x:row>
    <x:row r="161" ht="15" hidden="0" customHeight="1">
      <x:c r="K161" s="25"/>
      <x:c r="P161" s="29"/>
      <x:c r="Q161" s="29"/>
    </x:row>
    <x:row r="162" ht="15" hidden="0" customHeight="1">
      <x:c r="K162" s="25"/>
      <x:c r="P162" s="29"/>
      <x:c r="Q162" s="29"/>
    </x:row>
    <x:row r="163" ht="15" hidden="0" customHeight="1">
      <x:c r="K163" s="25"/>
      <x:c r="P163" s="29"/>
      <x:c r="Q163" s="29"/>
    </x:row>
    <x:row r="164" ht="15" hidden="0" customHeight="1">
      <x:c r="K164" s="25"/>
      <x:c r="P164" s="29"/>
      <x:c r="Q164" s="29"/>
    </x:row>
    <x:row r="165" ht="15" hidden="0" customHeight="1">
      <x:c r="K165" s="25"/>
      <x:c r="P165" s="29"/>
      <x:c r="Q165" s="29"/>
    </x:row>
    <x:row r="166" ht="15" hidden="0" customHeight="1">
      <x:c r="K166" s="25"/>
      <x:c r="P166" s="29"/>
      <x:c r="Q166" s="29"/>
    </x:row>
    <x:row r="167" ht="15" hidden="0" customHeight="1">
      <x:c r="K167" s="25"/>
      <x:c r="P167" s="29"/>
      <x:c r="Q167" s="29"/>
    </x:row>
    <x:row r="168" ht="15" hidden="0" customHeight="1">
      <x:c r="K168" s="25"/>
      <x:c r="P168" s="29"/>
      <x:c r="Q168" s="29"/>
    </x:row>
    <x:row r="169" ht="15" hidden="0" customHeight="1">
      <x:c r="K169" s="25"/>
      <x:c r="P169" s="29"/>
      <x:c r="Q169" s="29"/>
    </x:row>
    <x:row r="170" ht="15" hidden="0" customHeight="1">
      <x:c r="K170" s="25"/>
      <x:c r="P170" s="29"/>
      <x:c r="Q170" s="29"/>
    </x:row>
    <x:row r="171" ht="15" hidden="0" customHeight="1">
      <x:c r="K171" s="25"/>
      <x:c r="P171" s="29"/>
      <x:c r="Q171" s="29"/>
    </x:row>
    <x:row r="172" ht="15" hidden="0" customHeight="1">
      <x:c r="K172" s="25"/>
      <x:c r="P172" s="29"/>
      <x:c r="Q172" s="29"/>
    </x:row>
    <x:row r="173" ht="15" hidden="0" customHeight="1">
      <x:c r="K173" s="25"/>
      <x:c r="P173" s="29"/>
      <x:c r="Q173" s="29"/>
    </x:row>
    <x:row r="174" ht="15" hidden="0" customHeight="1">
      <x:c r="K174" s="25"/>
      <x:c r="P174" s="29"/>
      <x:c r="Q174" s="29"/>
    </x:row>
    <x:row r="175" ht="15" hidden="0" customHeight="1">
      <x:c r="K175" s="25"/>
      <x:c r="P175" s="29"/>
      <x:c r="Q175" s="29"/>
    </x:row>
    <x:row r="176" ht="15" hidden="0" customHeight="1">
      <x:c r="K176" s="25"/>
      <x:c r="P176" s="29"/>
      <x:c r="Q176" s="29"/>
    </x:row>
    <x:row r="177" ht="15" hidden="0" customHeight="1">
      <x:c r="K177" s="25"/>
      <x:c r="P177" s="29"/>
      <x:c r="Q177" s="29"/>
    </x:row>
    <x:row r="178" ht="15" hidden="0" customHeight="1">
      <x:c r="K178" s="25"/>
      <x:c r="P178" s="29"/>
      <x:c r="Q178" s="29"/>
    </x:row>
    <x:row r="179" ht="15" hidden="0" customHeight="1">
      <x:c r="K179" s="25"/>
      <x:c r="P179" s="29"/>
      <x:c r="Q179" s="29"/>
    </x:row>
    <x:row r="180" ht="15" hidden="0" customHeight="1">
      <x:c r="K180" s="25"/>
      <x:c r="P180" s="29"/>
      <x:c r="Q180" s="29"/>
    </x:row>
    <x:row r="181" ht="15" hidden="0" customHeight="1">
      <x:c r="K181" s="25"/>
      <x:c r="P181" s="29"/>
      <x:c r="Q181" s="29"/>
    </x:row>
    <x:row r="182" ht="15" hidden="0" customHeight="1">
      <x:c r="K182" s="25"/>
      <x:c r="P182" s="29"/>
      <x:c r="Q182" s="29"/>
    </x:row>
    <x:row r="183" ht="15" hidden="0" customHeight="1">
      <x:c r="K183" s="25"/>
      <x:c r="P183" s="29"/>
      <x:c r="Q183" s="29"/>
    </x:row>
    <x:row r="184" ht="15" hidden="0" customHeight="1">
      <x:c r="K184" s="25"/>
      <x:c r="P184" s="29"/>
      <x:c r="Q184" s="29"/>
    </x:row>
    <x:row r="185" ht="15" hidden="0" customHeight="1">
      <x:c r="K185" s="25"/>
      <x:c r="P185" s="29"/>
      <x:c r="Q185" s="29"/>
    </x:row>
    <x:row r="186" ht="15" hidden="0" customHeight="1">
      <x:c r="K186" s="25"/>
      <x:c r="P186" s="29"/>
      <x:c r="Q186" s="29"/>
    </x:row>
    <x:row r="187" ht="15" hidden="0" customHeight="1">
      <x:c r="K187" s="25"/>
      <x:c r="P187" s="29"/>
      <x:c r="Q187" s="29"/>
    </x:row>
    <x:row r="188" ht="15" hidden="0" customHeight="1">
      <x:c r="K188" s="25"/>
      <x:c r="P188" s="29"/>
      <x:c r="Q188" s="29"/>
    </x:row>
    <x:row r="189" ht="15" hidden="0" customHeight="1">
      <x:c r="K189" s="25"/>
      <x:c r="P189" s="29"/>
      <x:c r="Q189" s="29"/>
    </x:row>
    <x:row r="190" ht="15" hidden="0" customHeight="1">
      <x:c r="K190" s="25"/>
      <x:c r="P190" s="29"/>
      <x:c r="Q190" s="29"/>
    </x:row>
    <x:row r="191" ht="15" hidden="0" customHeight="1">
      <x:c r="K191" s="25"/>
      <x:c r="P191" s="29"/>
      <x:c r="Q191" s="29"/>
    </x:row>
    <x:row r="192" ht="15" hidden="0" customHeight="1">
      <x:c r="K192" s="25"/>
      <x:c r="P192" s="29"/>
      <x:c r="Q192" s="29"/>
    </x:row>
    <x:row r="193" ht="15" hidden="0" customHeight="1">
      <x:c r="K193" s="25"/>
      <x:c r="P193" s="29"/>
      <x:c r="Q193" s="29"/>
    </x:row>
    <x:row r="194" ht="15" hidden="0" customHeight="1">
      <x:c r="K194" s="25"/>
      <x:c r="P194" s="29"/>
      <x:c r="Q194" s="29"/>
    </x:row>
    <x:row r="195" ht="15" hidden="0" customHeight="1">
      <x:c r="K195" s="25"/>
      <x:c r="P195" s="29"/>
      <x:c r="Q195" s="29"/>
    </x:row>
    <x:row r="196" ht="15" hidden="0" customHeight="1">
      <x:c r="K196" s="25"/>
      <x:c r="P196" s="29"/>
      <x:c r="Q196" s="29"/>
    </x:row>
    <x:row r="197" ht="15" hidden="0" customHeight="1">
      <x:c r="K197" s="25"/>
      <x:c r="P197" s="29"/>
      <x:c r="Q197" s="29"/>
    </x:row>
    <x:row r="198" ht="15" hidden="0" customHeight="1">
      <x:c r="K198" s="25"/>
      <x:c r="P198" s="29"/>
      <x:c r="Q198" s="29"/>
    </x:row>
    <x:row r="199" ht="15" hidden="0" customHeight="1">
      <x:c r="K199" s="25"/>
      <x:c r="P199" s="29"/>
      <x:c r="Q199" s="29"/>
    </x:row>
    <x:row r="200" ht="15" hidden="0" customHeight="1">
      <x:c r="K200" s="25"/>
      <x:c r="P200" s="29"/>
      <x:c r="Q200" s="29"/>
    </x:row>
  </x:sheetData>
  <x:conditionalFormatting sqref="C2:C200">
    <x:cfRule type="expression" dxfId="4" priority="1">
      <x:formula>C2="Closed"</x:formula>
    </x:cfRule>
    <x:cfRule type="expression" dxfId="5" priority="2">
      <x:formula>C2="Active"</x:formula>
    </x:cfRule>
  </x:conditionalFormatting>
  <x:pageMargins left="0.7" right="0.7" top="0.75" bottom="0.75" header="0.3" footer="0.3"/>
  <x:tableParts count="1">
    <x:tablePart xmlns:r="http://schemas.openxmlformats.org/officeDocument/2006/relationships" r:id="R86995d8bcba84ac8"/>
  </x:tableParts>
</x:worksheet>
</file>

<file path=xl/worksheets/sheet5.xml><?xml version="1.0" encoding="utf-8"?>
<x:worksheet xmlns:x="http://schemas.openxmlformats.org/spreadsheetml/2006/main">
  <x:sheetFormatPr defaultRowHeight="15"/>
  <x:cols>
    <x:col min="1" max="1" width="30" hidden="0" customWidth="1"/>
    <x:col min="3" max="3" width="30" hidden="0" customWidth="1"/>
    <x:col min="5" max="5" width="30" hidden="0" customWidth="1"/>
    <x:col min="7" max="7" width="30" hidden="0" customWidth="1"/>
    <x:col min="9" max="9" width="30" hidden="0" customWidth="1"/>
    <x:col min="11" max="11" width="30" hidden="0" customWidth="1"/>
  </x:cols>
  <x:sheetData>
    <x:row r="1">
      <x:c r="A1" s="13" t="str">
        <x:v>Work Item Type</x:v>
      </x:c>
      <x:c r="C1" s="13" t="str">
        <x:v>State</x:v>
      </x:c>
      <x:c r="E1" s="13" t="str">
        <x:v>Board Column</x:v>
      </x:c>
      <x:c r="G1" s="13" t="str">
        <x:v>Priority</x:v>
      </x:c>
      <x:c r="I1" s="13" t="str">
        <x:v>Assigned To</x:v>
      </x:c>
      <x:c r="K1" s="13" t="str">
        <x:v>Semantic Model</x:v>
      </x:c>
    </x:row>
    <x:row r="2">
      <x:c r="A2" t="str">
        <x:v>Epic</x:v>
      </x:c>
      <x:c r="C2" t="str">
        <x:v>New</x:v>
      </x:c>
      <x:c r="E2" t="str">
        <x:v>To Do</x:v>
      </x:c>
      <x:c r="G2" t="str">
        <x:v>High</x:v>
      </x:c>
      <x:c r="I2" t="str">
        <x:v>Kishore K</x:v>
      </x:c>
      <x:c r="K2" t="str">
        <x:v>PROD - Incident Reporting Semantic Model</x:v>
      </x:c>
    </x:row>
    <x:row r="3">
      <x:c r="A3" t="str">
        <x:v>Feature</x:v>
      </x:c>
      <x:c r="C3" t="str">
        <x:v>Active</x:v>
      </x:c>
      <x:c r="E3" t="str">
        <x:v>Doing</x:v>
      </x:c>
      <x:c r="G3" t="str">
        <x:v>Medium</x:v>
      </x:c>
      <x:c r="I3" t="str">
        <x:v>Amelia Brown</x:v>
      </x:c>
      <x:c r="K3" t="str">
        <x:v>PROD - Workforce Semantic Model</x:v>
      </x:c>
    </x:row>
    <x:row r="4">
      <x:c r="A4" t="str">
        <x:v>User Story</x:v>
      </x:c>
      <x:c r="C4" t="str">
        <x:v>Resolved</x:v>
      </x:c>
      <x:c r="E4" t="str">
        <x:v>Review</x:v>
      </x:c>
      <x:c r="G4" t="str">
        <x:v>Low</x:v>
      </x:c>
      <x:c r="I4" t="str">
        <x:v>Daniel Carter</x:v>
      </x:c>
      <x:c r="K4" t="str">
        <x:v>PROD - Custody Reporting Semantic Model</x:v>
      </x:c>
    </x:row>
    <x:row r="5">
      <x:c r="A5" t="str">
        <x:v>Task</x:v>
      </x:c>
      <x:c r="C5" t="str">
        <x:v>Closed</x:v>
      </x:c>
      <x:c r="E5" t="str">
        <x:v>Done</x:v>
      </x:c>
      <x:c r="I5" t="str">
        <x:v>Priya Nair</x:v>
      </x:c>
      <x:c r="K5" t="str">
        <x:v>PROD - Victim Services Semantic Model</x:v>
      </x:c>
    </x:row>
    <x:row r="6">
      <x:c r="A6" t="str">
        <x:v>Bug</x:v>
      </x:c>
      <x:c r="I6" t="str">
        <x:v>Tom Hughes</x:v>
      </x:c>
      <x:c r="K6" t="str">
        <x:v>PROD - Stop and Search Semantic Model</x:v>
      </x:c>
    </x:row>
    <x:row r="7">
      <x:c r="I7" t="str">
        <x:v>Sarah Patel</x:v>
      </x:c>
      <x:c r="K7" t="str">
        <x:v>Azure DevOps Work Items</x:v>
      </x:c>
    </x:row>
    <x:row r="8">
      <x:c r="K8" t="str">
        <x:v>PROD - Approved Semantic Models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8" hidden="0" customWidth="1"/>
    <x:col min="5" max="5" width="18" hidden="0" customWidth="1"/>
    <x:col min="6" max="6" width="32" hidden="0" customWidth="1"/>
    <x:col min="7" max="7" width="14" hidden="0" customWidth="1"/>
    <x:col min="8" max="8" width="12" hidden="0" customWidth="1"/>
    <x:col min="9" max="9" width="18" hidden="0" customWidth="1"/>
    <x:col min="10" max="10" width="12" hidden="0" customWidth="1"/>
    <x:col min="11" max="11" width="5" hidden="0" customWidth="1"/>
  </x:cols>
  <x:sheetData>
    <x:row r="1" ht="19.200000762939453" hidden="0" customHeight="1">
      <x:c r="A1" s="34" t="str">
        <x:v>Current Sprint Reporting Work - Summary</x:v>
      </x:c>
    </x:row>
    <x:row r="2"/>
    <x:row r="3" ht="15" hidden="0" customHeight="1">
      <x:c r="A3" s="46" t="str">
        <x:v>Total Items</x:v>
      </x:c>
      <x:c r="B3" s="47" t="str">
        <x:v>User Stories</x:v>
      </x:c>
      <x:c r="C3" s="47" t="str">
        <x:v>Tasks</x:v>
      </x:c>
      <x:c r="D3" s="47" t="str">
        <x:v>Bugs</x:v>
      </x:c>
      <x:c r="E3" s="47" t="str">
        <x:v>Closed Items</x:v>
      </x:c>
      <x:c r="F3" s="47" t="str">
        <x:v>Open Items</x:v>
      </x:c>
      <x:c r="G3" s="47" t="str">
        <x:v>Total Remaining Hrs</x:v>
      </x:c>
      <x:c r="H3" s="48" t="str">
        <x:v>Average Progress</x:v>
      </x:c>
    </x:row>
    <x:row r="4" ht="15.600000381469727" hidden="0" customHeight="1">
      <x:c r="A4" s="49" t="n">
        <x:f>COUNTA(Reporting_Fact!A2:A200)</x:f>
        <x:v>65</x:v>
      </x:c>
      <x:c r="B4" s="50" t="n">
        <x:f>COUNTIF(Reporting_Fact!B2:B200,"User Story")</x:f>
        <x:v>15</x:v>
      </x:c>
      <x:c r="C4" s="50" t="n">
        <x:f>COUNTIF(Reporting_Fact!B2:B200,"Task")</x:f>
        <x:v>36</x:v>
      </x:c>
      <x:c r="D4" s="50" t="n">
        <x:f>COUNTIF(Reporting_Fact!B2:B200,"Bug")</x:f>
        <x:v>8</x:v>
      </x:c>
      <x:c r="E4" s="50" t="n">
        <x:f>COUNTIF(Reporting_Fact!C2:C200,"Closed")</x:f>
        <x:v>14</x:v>
      </x:c>
      <x:c r="F4" s="50" t="n">
        <x:f>COUNTA(Reporting_Fact!A2:A200)-COUNTIF(Reporting_Fact!C2:C200,"Closed")</x:f>
        <x:v>51</x:v>
      </x:c>
      <x:c r="G4" s="50" t="n">
        <x:f>SUM(Reporting_Fact!I2:I200)</x:f>
        <x:v>114</x:v>
      </x:c>
      <x:c r="H4" s="51" t="n">
        <x:f>AVERAGE(Reporting_Fact!K2:K200)</x:f>
        <x:v>0.42892307692307696</x:v>
      </x:c>
    </x:row>
    <x:row r="5"/>
    <x:row r="6"/>
    <x:row r="7" ht="15" hidden="0" customHeight="1">
      <x:c r="A7" s="19" t="str">
        <x:v>State</x:v>
      </x:c>
      <x:c r="B7" s="19" t="str">
        <x:v>Item Count</x:v>
      </x:c>
      <x:c r="C7" s="19" t="str">
        <x:v>Remaining Work</x:v>
      </x:c>
      <x:c r="D7" s="10"/>
      <x:c r="E7" s="19" t="str">
        <x:v>Work Item Type</x:v>
      </x:c>
      <x:c r="F7" s="19" t="str">
        <x:v>Item Count</x:v>
      </x:c>
      <x:c r="G7" s="19" t="str">
        <x:v>Story Points</x:v>
      </x:c>
      <x:c r="H7" s="10"/>
      <x:c r="I7" s="10"/>
      <x:c r="J7" s="10"/>
    </x:row>
    <x:row r="8" ht="15" hidden="0" customHeight="1">
      <x:c r="A8" s="10" t="str">
        <x:v>New</x:v>
      </x:c>
      <x:c r="B8" s="10" t="n">
        <x:f>COUNTIF(Reporting_Fact!$C$2:$C$200,A8)</x:f>
        <x:v>18</x:v>
      </x:c>
      <x:c r="C8" s="10" t="n">
        <x:f>SUMIF(Reporting_Fact!$C$2:$C$200,A8,Reporting_Fact!$I$2:$I$200)</x:f>
        <x:v>58</x:v>
      </x:c>
      <x:c r="D8" s="10"/>
      <x:c r="E8" s="10" t="str">
        <x:v>Epic</x:v>
      </x:c>
      <x:c r="F8" s="10" t="n">
        <x:f>COUNTIF(Reporting_Fact!$B$2:$B$200,E8)</x:f>
        <x:v>2</x:v>
      </x:c>
      <x:c r="G8" s="10" t="n">
        <x:f>SUMIF(Reporting_Fact!$B$2:$B$200,E8,Reporting_Fact!$G$2:$G$200)</x:f>
        <x:v>0</x:v>
      </x:c>
      <x:c r="H8" s="10"/>
      <x:c r="I8" s="10"/>
      <x:c r="J8" s="10"/>
    </x:row>
    <x:row r="9" ht="15" hidden="0" customHeight="1">
      <x:c r="A9" s="10" t="str">
        <x:v>Active</x:v>
      </x:c>
      <x:c r="B9" s="10" t="n">
        <x:f>COUNTIF(Reporting_Fact!$C$2:$C$200,A9)</x:f>
        <x:v>19</x:v>
      </x:c>
      <x:c r="C9" s="10" t="n">
        <x:f>SUMIF(Reporting_Fact!$C$2:$C$200,A9,Reporting_Fact!$I$2:$I$200)</x:f>
        <x:v>39</x:v>
      </x:c>
      <x:c r="D9" s="10"/>
      <x:c r="E9" s="10" t="str">
        <x:v>Feature</x:v>
      </x:c>
      <x:c r="F9" s="10" t="n">
        <x:f>COUNTIF(Reporting_Fact!$B$2:$B$200,E9)</x:f>
        <x:v>4</x:v>
      </x:c>
      <x:c r="G9" s="10" t="n">
        <x:f>SUMIF(Reporting_Fact!$B$2:$B$200,E9,Reporting_Fact!$G$2:$G$200)</x:f>
        <x:v>0</x:v>
      </x:c>
      <x:c r="H9" s="10"/>
      <x:c r="I9" s="10"/>
      <x:c r="J9" s="10"/>
    </x:row>
    <x:row r="10" ht="15" hidden="0" customHeight="1">
      <x:c r="A10" s="10" t="str">
        <x:v>Resolved</x:v>
      </x:c>
      <x:c r="B10" s="10" t="n">
        <x:f>COUNTIF(Reporting_Fact!$C$2:$C$200,A10)</x:f>
        <x:v>14</x:v>
      </x:c>
      <x:c r="C10" s="10" t="n">
        <x:f>SUMIF(Reporting_Fact!$C$2:$C$200,A10,Reporting_Fact!$I$2:$I$200)</x:f>
        <x:v>17</x:v>
      </x:c>
      <x:c r="D10" s="10"/>
      <x:c r="E10" s="10" t="str">
        <x:v>User Story</x:v>
      </x:c>
      <x:c r="F10" s="10" t="n">
        <x:f>COUNTIF(Reporting_Fact!$B$2:$B$200,E10)</x:f>
        <x:v>15</x:v>
      </x:c>
      <x:c r="G10" s="10" t="n">
        <x:f>SUMIF(Reporting_Fact!$B$2:$B$200,E10,Reporting_Fact!$G$2:$G$200)</x:f>
        <x:v>58</x:v>
      </x:c>
      <x:c r="H10" s="10"/>
      <x:c r="I10" s="10"/>
      <x:c r="J10" s="10"/>
    </x:row>
    <x:row r="11" ht="15" hidden="0" customHeight="1">
      <x:c r="A11" s="10" t="str">
        <x:v>Closed</x:v>
      </x:c>
      <x:c r="B11" s="10" t="n">
        <x:f>COUNTIF(Reporting_Fact!$C$2:$C$200,A11)</x:f>
        <x:v>14</x:v>
      </x:c>
      <x:c r="C11" s="10" t="n">
        <x:f>SUMIF(Reporting_Fact!$C$2:$C$200,A11,Reporting_Fact!$I$2:$I$200)</x:f>
        <x:v>0</x:v>
      </x:c>
      <x:c r="D11" s="10"/>
      <x:c r="E11" s="10" t="str">
        <x:v>Task</x:v>
      </x:c>
      <x:c r="F11" s="10" t="n">
        <x:f>COUNTIF(Reporting_Fact!$B$2:$B$200,E11)</x:f>
        <x:v>36</x:v>
      </x:c>
      <x:c r="G11" s="10" t="n">
        <x:f>SUMIF(Reporting_Fact!$B$2:$B$200,E11,Reporting_Fact!$G$2:$G$200)</x:f>
        <x:v>0</x:v>
      </x:c>
      <x:c r="H11" s="10"/>
      <x:c r="I11" s="10"/>
      <x:c r="J11" s="10"/>
    </x:row>
    <x:row r="12" ht="15" hidden="0" customHeight="1">
      <x:c r="A12" s="10"/>
      <x:c r="B12" s="10"/>
      <x:c r="C12" s="10"/>
      <x:c r="D12" s="10"/>
      <x:c r="E12" s="10" t="str">
        <x:v>Bug</x:v>
      </x:c>
      <x:c r="F12" s="10" t="n">
        <x:f>COUNTIF(Reporting_Fact!$B$2:$B$200,E12)</x:f>
        <x:v>8</x:v>
      </x:c>
      <x:c r="G12" s="10" t="n">
        <x:f>SUMIF(Reporting_Fact!$B$2:$B$200,E12,Reporting_Fact!$G$2:$G$200)</x:f>
        <x:v>0</x:v>
      </x:c>
      <x:c r="H12" s="10"/>
      <x:c r="I12" s="10"/>
      <x:c r="J12" s="10"/>
    </x:row>
    <x:row r="13" ht="15" hidden="0" customHeight="1">
      <x:c r="A13" s="10"/>
      <x:c r="B13" s="10"/>
      <x:c r="C13" s="10"/>
      <x:c r="D13" s="10"/>
      <x:c r="E13" s="10"/>
      <x:c r="F13" s="10"/>
      <x:c r="G13" s="10"/>
      <x:c r="H13" s="10"/>
      <x:c r="I13" s="10"/>
      <x:c r="J13" s="10"/>
    </x:row>
    <x:row r="14" ht="15" hidden="0" customHeight="1">
      <x:c r="A14" s="10"/>
      <x:c r="B14" s="10"/>
      <x:c r="C14" s="10"/>
      <x:c r="D14" s="10"/>
      <x:c r="E14" s="10"/>
      <x:c r="F14" s="10"/>
      <x:c r="G14" s="10"/>
      <x:c r="H14" s="10"/>
      <x:c r="I14" s="10"/>
      <x:c r="J14" s="10"/>
    </x:row>
    <x:row r="15" ht="15" hidden="0" customHeight="1">
      <x:c r="A15" s="19" t="str">
        <x:v>Owner</x:v>
      </x:c>
      <x:c r="B15" s="19" t="str">
        <x:v>Items</x:v>
      </x:c>
      <x:c r="C15" s="19" t="str">
        <x:v>Remaining Work</x:v>
      </x:c>
      <x:c r="D15" s="19" t="str">
        <x:v>Completed Work</x:v>
      </x:c>
      <x:c r="E15" s="10"/>
      <x:c r="F15" s="19" t="str">
        <x:v>Report Name</x:v>
      </x:c>
      <x:c r="G15" s="19" t="str">
        <x:v>Items</x:v>
      </x:c>
      <x:c r="H15" s="19" t="str">
        <x:v>Bugs</x:v>
      </x:c>
      <x:c r="I15" s="19" t="str">
        <x:v>Remaining Work</x:v>
      </x:c>
      <x:c r="J15" s="19" t="str">
        <x:v>Progress %</x:v>
      </x:c>
    </x:row>
    <x:row r="16" ht="15" hidden="0" customHeight="1">
      <x:c r="A16" s="10" t="str">
        <x:v>Kishore K</x:v>
      </x:c>
      <x:c r="B16" s="10" t="n">
        <x:f>COUNTIF(Reporting_Fact!$E$2:$E$200,A16)</x:f>
        <x:v>9</x:v>
      </x:c>
      <x:c r="C16" s="10" t="n">
        <x:f>SUMIF(Reporting_Fact!$E$2:$E$200,A16,Reporting_Fact!$I$2:$I$200)</x:f>
        <x:v>9</x:v>
      </x:c>
      <x:c r="D16" s="10" t="n">
        <x:f>SUMIF(Reporting_Fact!$E$2:$E$200,A16,Reporting_Fact!$J$2:$J$200)</x:f>
        <x:v>5</x:v>
      </x:c>
      <x:c r="E16" s="10"/>
      <x:c r="F16" s="10" t="str">
        <x:v>All Reporting Packs</x:v>
      </x:c>
      <x:c r="G16" s="10" t="n">
        <x:f>COUNTIF(Reporting_Fact!$M$2:$M$200,F16)</x:f>
        <x:v>10</x:v>
      </x:c>
      <x:c r="H16" s="10" t="n">
        <x:f>COUNTIFS(Reporting_Fact!$M$2:$M$200,F16,Reporting_Fact!$B$2:$B$200,"Bug")</x:f>
        <x:v>1</x:v>
      </x:c>
      <x:c r="I16" s="10" t="n">
        <x:f>SUMIF(Reporting_Fact!$M$2:$M$200,F16,Reporting_Fact!$I$2:$I$200)</x:f>
        <x:v>17</x:v>
      </x:c>
      <x:c r="J16" s="24" t="n">
        <x:f>IFERROR(SUMIF(Reporting_Fact!$M$2:$M$200,F16,Reporting_Fact!$J$2:$J$200)/SUMIF(Reporting_Fact!$M$2:$M$200,F16,Reporting_Fact!$H$2:$H$200),0)</x:f>
        <x:v>0.46875</x:v>
      </x:c>
    </x:row>
    <x:row r="17" ht="15" hidden="0" customHeight="1">
      <x:c r="A17" s="10" t="str">
        <x:v>Amelia Brown</x:v>
      </x:c>
      <x:c r="B17" s="10" t="n">
        <x:f>COUNTIF(Reporting_Fact!$E$2:$E$200,A17)</x:f>
        <x:v>9</x:v>
      </x:c>
      <x:c r="C17" s="10" t="n">
        <x:f>SUMIF(Reporting_Fact!$E$2:$E$200,A17,Reporting_Fact!$I$2:$I$200)</x:f>
        <x:v>20.5</x:v>
      </x:c>
      <x:c r="D17" s="10" t="n">
        <x:f>SUMIF(Reporting_Fact!$E$2:$E$200,A17,Reporting_Fact!$J$2:$J$200)</x:f>
        <x:v>19.5</x:v>
      </x:c>
      <x:c r="E17" s="10"/>
      <x:c r="F17" s="10" t="str">
        <x:v>Custody Performance Dashboard</x:v>
      </x:c>
      <x:c r="G17" s="10" t="n">
        <x:f>COUNTIF(Reporting_Fact!$M$2:$M$200,F17)</x:f>
        <x:v>5</x:v>
      </x:c>
      <x:c r="H17" s="10" t="n">
        <x:f>COUNTIFS(Reporting_Fact!$M$2:$M$200,F17,Reporting_Fact!$B$2:$B$200,"Bug")</x:f>
        <x:v>1</x:v>
      </x:c>
      <x:c r="I17" s="10" t="n">
        <x:f>SUMIF(Reporting_Fact!$M$2:$M$200,F17,Reporting_Fact!$I$2:$I$200)</x:f>
        <x:v>4</x:v>
      </x:c>
      <x:c r="J17" s="24" t="n">
        <x:f>IFERROR(SUMIF(Reporting_Fact!$M$2:$M$200,F17,Reporting_Fact!$J$2:$J$200)/SUMIF(Reporting_Fact!$M$2:$M$200,F17,Reporting_Fact!$H$2:$H$200),0)</x:f>
        <x:v>0.8461538461538461</x:v>
      </x:c>
    </x:row>
    <x:row r="18" ht="15" hidden="0" customHeight="1">
      <x:c r="A18" s="10" t="str">
        <x:v>Daniel Carter</x:v>
      </x:c>
      <x:c r="B18" s="10" t="n">
        <x:f>COUNTIF(Reporting_Fact!$E$2:$E$200,A18)</x:f>
        <x:v>11</x:v>
      </x:c>
      <x:c r="C18" s="10" t="n">
        <x:f>SUMIF(Reporting_Fact!$E$2:$E$200,A18,Reporting_Fact!$I$2:$I$200)</x:f>
        <x:v>17</x:v>
      </x:c>
      <x:c r="D18" s="10" t="n">
        <x:f>SUMIF(Reporting_Fact!$E$2:$E$200,A18,Reporting_Fact!$J$2:$J$200)</x:f>
        <x:v>23</x:v>
      </x:c>
      <x:c r="E18" s="10"/>
      <x:c r="F18" s="10" t="str">
        <x:v>DevOps Reporting Board</x:v>
      </x:c>
      <x:c r="G18" s="10" t="n">
        <x:f>COUNTIF(Reporting_Fact!$M$2:$M$200,F18)</x:f>
        <x:v>4</x:v>
      </x:c>
      <x:c r="H18" s="10" t="n">
        <x:f>COUNTIFS(Reporting_Fact!$M$2:$M$200,F18,Reporting_Fact!$B$2:$B$200,"Bug")</x:f>
        <x:v>0</x:v>
      </x:c>
      <x:c r="I18" s="10" t="n">
        <x:f>SUMIF(Reporting_Fact!$M$2:$M$200,F18,Reporting_Fact!$I$2:$I$200)</x:f>
        <x:v>9</x:v>
      </x:c>
      <x:c r="J18" s="24" t="n">
        <x:f>IFERROR(SUMIF(Reporting_Fact!$M$2:$M$200,F18,Reporting_Fact!$J$2:$J$200)/SUMIF(Reporting_Fact!$M$2:$M$200,F18,Reporting_Fact!$H$2:$H$200),0)</x:f>
        <x:v>0.5</x:v>
      </x:c>
    </x:row>
    <x:row r="19" ht="15" hidden="0" customHeight="1">
      <x:c r="A19" s="10" t="str">
        <x:v>Priya Nair</x:v>
      </x:c>
      <x:c r="B19" s="10" t="n">
        <x:f>COUNTIF(Reporting_Fact!$E$2:$E$200,A19)</x:f>
        <x:v>12</x:v>
      </x:c>
      <x:c r="C19" s="10" t="n">
        <x:f>SUMIF(Reporting_Fact!$E$2:$E$200,A19,Reporting_Fact!$I$2:$I$200)</x:f>
        <x:v>21</x:v>
      </x:c>
      <x:c r="D19" s="10" t="n">
        <x:f>SUMIF(Reporting_Fact!$E$2:$E$200,A19,Reporting_Fact!$J$2:$J$200)</x:f>
        <x:v>29</x:v>
      </x:c>
      <x:c r="E19" s="10"/>
      <x:c r="F19" s="10" t="str">
        <x:v>Monthly Incident Performance Report</x:v>
      </x:c>
      <x:c r="G19" s="10" t="n">
        <x:f>COUNTIF(Reporting_Fact!$M$2:$M$200,F19)</x:f>
        <x:v>6</x:v>
      </x:c>
      <x:c r="H19" s="10" t="n">
        <x:f>COUNTIFS(Reporting_Fact!$M$2:$M$200,F19,Reporting_Fact!$B$2:$B$200,"Bug")</x:f>
        <x:v>1</x:v>
      </x:c>
      <x:c r="I19" s="10" t="n">
        <x:f>SUMIF(Reporting_Fact!$M$2:$M$200,F19,Reporting_Fact!$I$2:$I$200)</x:f>
        <x:v>17.5</x:v>
      </x:c>
      <x:c r="J19" s="24" t="n">
        <x:f>IFERROR(SUMIF(Reporting_Fact!$M$2:$M$200,F19,Reporting_Fact!$J$2:$J$200)/SUMIF(Reporting_Fact!$M$2:$M$200,F19,Reporting_Fact!$H$2:$H$200),0)</x:f>
        <x:v>0.4166666666666667</x:v>
      </x:c>
    </x:row>
    <x:row r="20" ht="15" hidden="0" customHeight="1">
      <x:c r="A20" s="10" t="str">
        <x:v>Tom Hughes</x:v>
      </x:c>
      <x:c r="B20" s="10" t="n">
        <x:f>COUNTIF(Reporting_Fact!$E$2:$E$200,A20)</x:f>
        <x:v>10</x:v>
      </x:c>
      <x:c r="C20" s="10" t="n">
        <x:f>SUMIF(Reporting_Fact!$E$2:$E$200,A20,Reporting_Fact!$I$2:$I$200)</x:f>
        <x:v>24</x:v>
      </x:c>
      <x:c r="D20" s="10" t="n">
        <x:f>SUMIF(Reporting_Fact!$E$2:$E$200,A20,Reporting_Fact!$J$2:$J$200)</x:f>
        <x:v>14</x:v>
      </x:c>
      <x:c r="E20" s="10"/>
      <x:c r="F20" s="10" t="str">
        <x:v>Officer Availability Dashboard</x:v>
      </x:c>
      <x:c r="G20" s="10" t="n">
        <x:f>COUNTIF(Reporting_Fact!$M$2:$M$200,F20)</x:f>
        <x:v>5</x:v>
      </x:c>
      <x:c r="H20" s="10" t="n">
        <x:f>COUNTIFS(Reporting_Fact!$M$2:$M$200,F20,Reporting_Fact!$B$2:$B$200,"Bug")</x:f>
        <x:v>1</x:v>
      </x:c>
      <x:c r="I20" s="10" t="n">
        <x:f>SUMIF(Reporting_Fact!$M$2:$M$200,F20,Reporting_Fact!$I$2:$I$200)</x:f>
        <x:v>8</x:v>
      </x:c>
      <x:c r="J20" s="24" t="n">
        <x:f>IFERROR(SUMIF(Reporting_Fact!$M$2:$M$200,F20,Reporting_Fact!$J$2:$J$200)/SUMIF(Reporting_Fact!$M$2:$M$200,F20,Reporting_Fact!$H$2:$H$200),0)</x:f>
        <x:v>0.6</x:v>
      </x:c>
    </x:row>
    <x:row r="21" ht="15" hidden="0" customHeight="1">
      <x:c r="A21" s="10" t="str">
        <x:v>Sarah Patel</x:v>
      </x:c>
      <x:c r="B21" s="10" t="n">
        <x:f>COUNTIF(Reporting_Fact!$E$2:$E$200,A21)</x:f>
        <x:v>14</x:v>
      </x:c>
      <x:c r="C21" s="10" t="n">
        <x:f>SUMIF(Reporting_Fact!$E$2:$E$200,A21,Reporting_Fact!$I$2:$I$200)</x:f>
        <x:v>22.5</x:v>
      </x:c>
      <x:c r="D21" s="10" t="n">
        <x:f>SUMIF(Reporting_Fact!$E$2:$E$200,A21,Reporting_Fact!$J$2:$J$200)</x:f>
        <x:v>23.5</x:v>
      </x:c>
      <x:c r="E21" s="10"/>
      <x:c r="F21" s="10" t="str">
        <x:v>Operational Demand Dashboard</x:v>
      </x:c>
      <x:c r="G21" s="10" t="n">
        <x:f>COUNTIF(Reporting_Fact!$M$2:$M$200,F21)</x:f>
        <x:v>5</x:v>
      </x:c>
      <x:c r="H21" s="10" t="n">
        <x:f>COUNTIFS(Reporting_Fact!$M$2:$M$200,F21,Reporting_Fact!$B$2:$B$200,"Bug")</x:f>
        <x:v>0</x:v>
      </x:c>
      <x:c r="I21" s="10" t="n">
        <x:f>SUMIF(Reporting_Fact!$M$2:$M$200,F21,Reporting_Fact!$I$2:$I$200)</x:f>
        <x:v>11</x:v>
      </x:c>
      <x:c r="J21" s="24" t="n">
        <x:f>IFERROR(SUMIF(Reporting_Fact!$M$2:$M$200,F21,Reporting_Fact!$J$2:$J$200)/SUMIF(Reporting_Fact!$M$2:$M$200,F21,Reporting_Fact!$H$2:$H$200),0)</x:f>
        <x:v>0.3888888888888889</x:v>
      </x:c>
    </x:row>
    <x:row r="22" ht="15" hidden="0" customHeight="1">
      <x:c r="A22" s="10"/>
      <x:c r="B22" s="10"/>
      <x:c r="C22" s="10"/>
      <x:c r="D22" s="10"/>
      <x:c r="E22" s="10"/>
      <x:c r="F22" s="10" t="str">
        <x:v>Report Readiness Dashboard</x:v>
      </x:c>
      <x:c r="G22" s="10" t="n">
        <x:f>COUNTIF(Reporting_Fact!$M$2:$M$200,F22)</x:f>
        <x:v>5</x:v>
      </x:c>
      <x:c r="H22" s="10" t="n">
        <x:f>COUNTIFS(Reporting_Fact!$M$2:$M$200,F22,Reporting_Fact!$B$2:$B$200,"Bug")</x:f>
        <x:v>1</x:v>
      </x:c>
      <x:c r="I22" s="10" t="n">
        <x:f>SUMIF(Reporting_Fact!$M$2:$M$200,F22,Reporting_Fact!$I$2:$I$200)</x:f>
        <x:v>6</x:v>
      </x:c>
      <x:c r="J22" s="24" t="n">
        <x:f>IFERROR(SUMIF(Reporting_Fact!$M$2:$M$200,F22,Reporting_Fact!$J$2:$J$200)/SUMIF(Reporting_Fact!$M$2:$M$200,F22,Reporting_Fact!$H$2:$H$200),0)</x:f>
        <x:v>0.625</x:v>
      </x:c>
    </x:row>
    <x:row r="23" ht="15" hidden="0" customHeight="1">
      <x:c r="A23" s="10"/>
      <x:c r="B23" s="10"/>
      <x:c r="C23" s="10"/>
      <x:c r="D23" s="10"/>
      <x:c r="E23" s="10"/>
      <x:c r="F23" s="10" t="str">
        <x:v>Reporting App</x:v>
      </x:c>
      <x:c r="G23" s="10" t="n">
        <x:f>COUNTIF(Reporting_Fact!$M$2:$M$200,F23)</x:f>
        <x:v>4</x:v>
      </x:c>
      <x:c r="H23" s="10" t="n">
        <x:f>COUNTIFS(Reporting_Fact!$M$2:$M$200,F23,Reporting_Fact!$B$2:$B$200,"Bug")</x:f>
        <x:v>0</x:v>
      </x:c>
      <x:c r="I23" s="10" t="n">
        <x:f>SUMIF(Reporting_Fact!$M$2:$M$200,F23,Reporting_Fact!$I$2:$I$200)</x:f>
        <x:v>8</x:v>
      </x:c>
      <x:c r="J23" s="24" t="n">
        <x:f>IFERROR(SUMIF(Reporting_Fact!$M$2:$M$200,F23,Reporting_Fact!$J$2:$J$200)/SUMIF(Reporting_Fact!$M$2:$M$200,F23,Reporting_Fact!$H$2:$H$200),0)</x:f>
        <x:v>0.3333333333333333</x:v>
      </x:c>
    </x:row>
    <x:row r="24" ht="15" hidden="0" customHeight="1">
      <x:c r="A24" s="10"/>
      <x:c r="B24" s="10"/>
      <x:c r="C24" s="10"/>
      <x:c r="D24" s="10"/>
      <x:c r="E24" s="10"/>
      <x:c r="F24" s="10"/>
      <x:c r="G24" s="10"/>
      <x:c r="H24" s="10"/>
      <x:c r="I24" s="10"/>
      <x:c r="J24" s="10"/>
    </x:row>
    <x:row r="25" ht="15" hidden="0" customHeight="1">
      <x:c r="A25" s="10"/>
      <x:c r="B25" s="10"/>
      <x:c r="C25" s="10"/>
      <x:c r="D25" s="10"/>
      <x:c r="E25" s="10"/>
      <x:c r="F25" s="10"/>
      <x:c r="G25" s="10"/>
      <x:c r="H25" s="10"/>
      <x:c r="I25" s="10"/>
      <x:c r="J25" s="10"/>
    </x:row>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K1"/>
  </x:mergeCells>
  <x:pageMargins left="0.7" right="0.7" top="0.75" bottom="0.75" header="0.3" footer="0.3"/>
  <x:drawing xmlns:r="http://schemas.openxmlformats.org/officeDocument/2006/relationships" r:id="R40c8d370340f4010"/>
</x:worksheet>
</file>

<file path=xl/worksheets/sheet7.xml><?xml version="1.0" encoding="utf-8"?>
<x:worksheet xmlns:x="http://schemas.openxmlformats.org/spreadsheetml/2006/main">
  <x:sheetFormatPr defaultRowHeight="15"/>
  <x:cols>
    <x:col min="1" max="1" width="14" hidden="0" customWidth="1"/>
    <x:col min="2" max="2" width="100" hidden="0" customWidth="1"/>
  </x:cols>
  <x:sheetData>
    <x:row r="1" ht="153.60000610351562" hidden="0" customHeight="1">
      <x:c r="A1" s="58" t="str">
        <x:v>How to use this workbook for the Azure DevOps board demo</x:v>
      </x:c>
      <x:c r="B1" s="10"/>
    </x:row>
    <x:row r="2"/>
    <x:row r="3" ht="15" hidden="0" customHeight="1">
      <x:c r="A3" s="13" t="str">
        <x:v>Step</x:v>
      </x:c>
      <x:c r="B3" s="13" t="str">
        <x:v>Guidance</x:v>
      </x:c>
    </x:row>
    <x:row r="4" ht="15" hidden="0" customHeight="1">
      <x:c r="A4" t="str">
        <x:v>1</x:v>
      </x:c>
      <x:c r="B4" t="str">
        <x:v>Use the ADO_Import_Flat sheet as the source list for creating demo work items.</x:v>
      </x:c>
    </x:row>
    <x:row r="5" ht="15" hidden="0" customHeight="1">
      <x:c r="A5" t="str">
        <x:v>2</x:v>
      </x:c>
      <x:c r="B5" t="str">
        <x:v>Create Epics first, then Features, then User Stories, then Tasks and Bugs. Use Demo ID and Parent Demo ID to link the hierarchy after creation.</x:v>
      </x:c>
    </x:row>
    <x:row r="6" ht="15" hidden="0" customHeight="1">
      <x:c r="A6" t="str">
        <x:v>3</x:v>
      </x:c>
      <x:c r="B6" t="str">
        <x:v>If using the Azure DevOps Excel add-in, connect to your demo project, create a work item list, paste rows by type, publish, then use hierarchy details to link parent-child items.</x:v>
      </x:c>
    </x:row>
    <x:row r="7" ht="15" hidden="0" customHeight="1">
      <x:c r="A7" t="str">
        <x:v>4</x:v>
      </x:c>
      <x:c r="B7" t="str">
        <x:v>If using CSV import, import the flat columns supported by your DevOps process. Parent linking may need to be done after import depending on your process/template.</x:v>
      </x:c>
    </x:row>
    <x:row r="8" ht="15" hidden="0" customHeight="1">
      <x:c r="A8" t="str">
        <x:v>5</x:v>
      </x:c>
      <x:c r="B8" t="str">
        <x:v>Use Board Column or State to show To Do, Doing, Review and Done in the board.</x:v>
      </x:c>
    </x:row>
    <x:row r="9" ht="15" hidden="0" customHeight="1">
      <x:c r="A9" t="str">
        <x:v>6</x:v>
      </x:c>
      <x:c r="B9" t="str">
        <x:v>Use Reporting_Fact to build a Power BI/Fabric report: items by state, bugs by report, remaining work by owner, progress by report and sprint status.</x:v>
      </x:c>
    </x:row>
    <x:row r="10" ht="15" hidden="0" customHeight="1">
      <x:c r="A10" t="str">
        <x:v>Important</x:v>
      </x:c>
      <x:c r="B10" t="str">
        <x:v>This is demo/sample data only. Replace names, area paths, iteration paths and workspaces with your own demo project values before upload.</x:v>
      </x:c>
    </x:row>
    <x:row r="11"/>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s>
  <x:pageMargins left="0.7" right="0.7" top="0.75" bottom="0.75" header="0.3" footer="0.3"/>
</x:worksheet>
</file>